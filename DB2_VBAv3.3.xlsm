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40" windowWidth="14955" windowHeight="7200" tabRatio="694" activeTab="4"/>
  </bookViews>
  <sheets>
    <sheet name="CD" sheetId="29" r:id="rId1"/>
    <sheet name="AR" sheetId="30" r:id="rId2"/>
    <sheet name="AP" sheetId="32" r:id="rId3"/>
    <sheet name="Config" sheetId="3" r:id="rId4"/>
    <sheet name="Sql" sheetId="2" r:id="rId5"/>
  </sheets>
  <functionGroups builtInGroupCount="17"/>
  <definedNames>
    <definedName name="_xlnm._FilterDatabase" localSheetId="3" hidden="1">Config!$A$2:$D$11</definedName>
    <definedName name="_xlnm._FilterDatabase" localSheetId="4" hidden="1">Sql!$A$1:$A$65</definedName>
    <definedName name="SQLCondition" localSheetId="2">AP!$B$3:$B$15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17" i="29" l="1"/>
  <c r="B24" i="29"/>
  <c r="B23" i="29"/>
  <c r="B22" i="29"/>
  <c r="B48" i="29"/>
  <c r="B47" i="29"/>
  <c r="B46" i="29"/>
  <c r="B45" i="29"/>
  <c r="B17" i="32" l="1"/>
  <c r="B25" i="29"/>
  <c r="B20" i="29"/>
  <c r="B21" i="29" l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A1" i="30" l="1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Z33" i="30" s="1"/>
  <c r="A33" i="30" s="1"/>
  <c r="F16" i="30"/>
  <c r="W16" i="30"/>
  <c r="FO16" i="30" s="1"/>
  <c r="D30" i="30"/>
  <c r="ET30" i="30" s="1"/>
  <c r="C24" i="30"/>
  <c r="C20" i="30"/>
  <c r="ES30" i="30" l="1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<sst xmlns="http://schemas.openxmlformats.org/spreadsheetml/2006/main" count="1613" uniqueCount="593">
  <si>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</si>
  <si>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</si>
  <si>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</si>
  <si>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</si>
  <si>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</si>
  <si>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</si>
  <si>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</si>
  <si>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</si>
  <si>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</si>
  <si>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</si>
  <si>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</si>
  <si>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</si>
  <si>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</si>
  <si>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</si>
  <si>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</si>
  <si>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</si>
  <si>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</si>
  <si>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</si>
  <si>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</si>
  <si>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</si>
  <si>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</si>
  <si>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</si>
  <si>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</si>
  <si>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</si>
  <si>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</si>
  <si>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</si>
  <si>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</si>
  <si>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</si>
  <si>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</si>
  <si>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</si>
  <si>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</si>
  <si>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</si>
  <si>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</si>
  <si>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</si>
  <si>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</si>
  <si>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</si>
  <si>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</si>
  <si>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</si>
  <si>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</si>
  <si>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</si>
  <si>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</si>
  <si>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</si>
  <si>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</si>
  <si>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</si>
  <si>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</si>
  <si>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</si>
  <si>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</si>
  <si>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</si>
  <si>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</si>
  <si>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</si>
  <si>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</si>
  <si>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</si>
  <si>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</si>
  <si>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</si>
  <si>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</si>
  <si>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</si>
  <si>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</si>
  <si>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</si>
  <si>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</si>
  <si>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</si>
  <si>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</si>
  <si>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</si>
  <si>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</si>
  <si>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</si>
  <si>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</si>
  <si>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</si>
  <si>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</si>
  <si>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</si>
  <si>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</si>
  <si>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</si>
  <si>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</si>
  <si>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</si>
  <si>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</si>
  <si>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</si>
  <si>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</si>
  <si>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</si>
  <si>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</si>
  <si>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</si>
  <si>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</si>
  <si>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</si>
  <si>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</si>
  <si>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</si>
  <si>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</si>
  <si>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</si>
  <si>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</si>
  <si>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</si>
  <si>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</si>
  <si>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</si>
  <si>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</si>
  <si>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</si>
  <si>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</si>
  <si>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</si>
  <si>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</si>
  <si>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</si>
  <si>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</si>
  <si>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</si>
  <si>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</si>
  <si>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</si>
  <si>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</si>
  <si>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</si>
  <si>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</si>
  <si>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</si>
  <si>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</si>
  <si>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</si>
  <si>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</si>
  <si>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</si>
  <si>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</si>
  <si>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</si>
  <si>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</si>
  <si>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</si>
  <si>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</si>
  <si>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</si>
  <si>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</si>
  <si>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</si>
  <si>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</si>
  <si>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</si>
  <si>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</si>
  <si>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</si>
  <si>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</si>
  <si>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</si>
  <si>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</si>
  <si>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</si>
  <si>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</si>
  <si>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</si>
  <si>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</si>
  <si>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</si>
  <si>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</si>
  <si>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</si>
  <si>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</si>
  <si>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</si>
  <si>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</si>
  <si>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</si>
  <si>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</si>
  <si>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</si>
  <si>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</si>
  <si>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</si>
  <si>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</si>
  <si>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</si>
  <si>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</si>
  <si>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</si>
  <si>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</si>
  <si>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</si>
  <si>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</si>
  <si>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</si>
  <si>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</si>
  <si>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</si>
  <si>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</si>
  <si>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</si>
  <si>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</si>
  <si>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</si>
  <si>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</si>
  <si>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</si>
  <si>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</si>
  <si>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</si>
  <si>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</si>
  <si>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</si>
  <si>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</si>
  <si>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</si>
  <si>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</si>
  <si>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</si>
  <si>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</si>
  <si>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</si>
  <si>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</si>
  <si>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</si>
  <si>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</si>
  <si>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</si>
  <si>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</si>
  <si>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</si>
  <si>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</si>
  <si>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</si>
  <si>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</si>
  <si>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</si>
  <si>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</si>
  <si>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</si>
  <si>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</si>
  <si>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</si>
  <si>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</si>
  <si>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</si>
  <si>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</si>
  <si>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</si>
  <si>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</si>
  <si>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</si>
  <si>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</si>
  <si>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</si>
  <si>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</si>
  <si>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</si>
  <si>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</si>
  <si>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</si>
  <si>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</si>
  <si>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</si>
  <si>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</si>
  <si>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</si>
  <si>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</si>
  <si>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</si>
  <si>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</si>
  <si>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</si>
  <si>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</si>
  <si>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</si>
  <si>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</si>
  <si>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</si>
  <si>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</si>
  <si>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</si>
  <si>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</si>
  <si>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</si>
  <si>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</si>
  <si>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</si>
  <si>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</si>
  <si>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</si>
  <si>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</si>
  <si>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</si>
  <si>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</si>
  <si>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</si>
  <si>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</si>
  <si>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</si>
  <si>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</si>
  <si>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</si>
  <si>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</si>
  <si>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</si>
  <si>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</si>
  <si>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</si>
  <si>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</si>
  <si>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</si>
  <si>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</si>
  <si>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</si>
  <si>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</si>
  <si>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</si>
  <si>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</si>
  <si>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</si>
  <si>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</si>
  <si>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</si>
  <si>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</si>
  <si>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</si>
  <si>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</si>
  <si>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</si>
  <si>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</si>
  <si>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</si>
  <si>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</si>
  <si>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</si>
  <si>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</si>
  <si>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</si>
  <si>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</si>
  <si>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</si>
  <si>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</si>
  <si>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</si>
  <si>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</si>
  <si>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</si>
  <si>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</si>
  <si>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</si>
  <si>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</si>
  <si>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</si>
  <si>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</si>
  <si>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</si>
  <si>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</si>
  <si>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</si>
  <si>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</si>
  <si>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</si>
  <si>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</si>
  <si>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</si>
  <si>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</si>
  <si>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</si>
  <si>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</si>
  <si>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</si>
  <si>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</si>
  <si>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</si>
  <si>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</si>
  <si>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</si>
  <si>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</si>
  <si>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</si>
  <si>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</si>
  <si>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</si>
  <si>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</si>
  <si>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</si>
  <si>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</si>
  <si>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</si>
  <si>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</si>
  <si>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</si>
  <si>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</si>
  <si>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</si>
  <si>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</si>
  <si>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</si>
  <si>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</si>
  <si>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</si>
  <si>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</si>
  <si>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</si>
  <si>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</si>
  <si>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</si>
  <si>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</si>
  <si>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</si>
  <si>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</si>
  <si>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</si>
  <si>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</si>
  <si>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</si>
  <si>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</si>
  <si>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</si>
  <si>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</si>
  <si>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</si>
  <si>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</si>
  <si>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</si>
  <si>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</si>
  <si>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</si>
  <si>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</si>
  <si>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</si>
  <si>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</si>
  <si>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</si>
  <si>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</si>
  <si>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</si>
  <si>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</si>
  <si>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</si>
  <si>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</si>
  <si>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</si>
  <si>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</si>
  <si>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</si>
  <si>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</si>
  <si>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</si>
  <si>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</si>
  <si>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</si>
  <si>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</si>
  <si>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</si>
  <si>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</si>
  <si>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</si>
  <si>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</si>
  <si>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</si>
  <si>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</si>
  <si>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</si>
  <si>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</si>
  <si>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</si>
  <si>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</si>
  <si>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</si>
  <si>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</si>
  <si>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</si>
  <si>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</si>
  <si>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</si>
  <si>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</si>
  <si>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</si>
  <si>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</si>
  <si>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</si>
  <si>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</si>
  <si>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</si>
  <si>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</si>
  <si>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</si>
  <si>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</si>
  <si>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</si>
  <si>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</si>
  <si>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</si>
  <si>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</si>
  <si>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</si>
  <si>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</si>
  <si>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</si>
  <si>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</si>
  <si>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</si>
  <si>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</si>
  <si>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</si>
  <si>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</si>
  <si>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</si>
  <si>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</si>
  <si>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</si>
  <si>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</si>
  <si>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</si>
  <si>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</si>
  <si>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</si>
  <si>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</si>
  <si>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</si>
  <si>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</si>
  <si>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</si>
  <si>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</si>
  <si>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</si>
  <si>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</si>
  <si>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</si>
  <si>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BU:</t>
  </si>
  <si>
    <t>部門:</t>
    <rPh sb="0" eb="2">
      <t>ブモン</t>
    </rPh>
    <phoneticPr fontId="2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</si>
  <si>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</si>
  <si>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</si>
  <si>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</si>
  <si>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</si>
  <si>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</si>
  <si>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</si>
  <si>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</si>
  <si>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</si>
  <si>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</si>
  <si>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</si>
  <si>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</si>
  <si>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</si>
  <si>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</si>
  <si>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</si>
  <si>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</si>
  <si>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</si>
  <si>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</si>
  <si>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</si>
  <si>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</si>
  <si>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</si>
  <si>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</si>
  <si>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</si>
  <si>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</si>
  <si>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</si>
  <si>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</si>
  <si>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</si>
  <si>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</si>
  <si>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</si>
  <si>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</si>
  <si>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</si>
  <si>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</si>
  <si>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</si>
  <si>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</si>
  <si>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</si>
  <si>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</si>
  <si>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</si>
  <si>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</si>
  <si>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</si>
  <si>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</si>
  <si>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</si>
  <si>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</si>
  <si>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</si>
  <si>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</si>
  <si>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</si>
  <si>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</si>
  <si>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</si>
  <si>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</si>
  <si>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</si>
  <si>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</si>
  <si>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</si>
  <si>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</si>
  <si>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</si>
  <si>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</si>
  <si>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</si>
  <si>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</si>
  <si>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</si>
  <si>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</si>
  <si>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</si>
  <si>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</si>
  <si>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</si>
  <si>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</si>
  <si>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</si>
  <si>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</si>
  <si>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</si>
  <si>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</si>
  <si>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</si>
  <si>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</si>
  <si>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</si>
  <si>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</si>
  <si>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</si>
  <si>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</si>
  <si>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</si>
  <si>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</si>
  <si>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2"/>
  </si>
  <si>
    <t>D/OボディーTBL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</si>
  <si>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</si>
  <si>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</si>
  <si>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</si>
  <si>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</si>
  <si>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</si>
  <si>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</si>
  <si>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</si>
  <si>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</si>
  <si>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請求書ﾍｯﾀﾞｰTBL</t>
    <phoneticPr fontId="2"/>
  </si>
  <si>
    <t>請求書BodyTBL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</si>
  <si>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</si>
  <si>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</si>
  <si>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</si>
  <si>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</si>
  <si>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</si>
  <si>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</si>
  <si>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</si>
  <si>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</si>
  <si>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入庫確認HEAD</t>
    <phoneticPr fontId="2"/>
  </si>
  <si>
    <t>入庫確認明細</t>
    <phoneticPr fontId="2"/>
  </si>
  <si>
    <t>入庫確認諸掛</t>
    <phoneticPr fontId="2"/>
  </si>
  <si>
    <t>入庫確認支払充当</t>
    <phoneticPr fontId="2"/>
  </si>
  <si>
    <t>入庫確認入荷予定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</si>
  <si>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</si>
  <si>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</si>
  <si>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</si>
  <si>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</si>
  <si>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</si>
  <si>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</si>
  <si>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</si>
  <si>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</si>
  <si>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</si>
  <si>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</si>
  <si>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</si>
  <si>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</si>
  <si>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</si>
  <si>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</si>
  <si>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</si>
  <si>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</si>
  <si>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</si>
  <si>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</si>
  <si>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</si>
  <si>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</si>
  <si>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</si>
  <si>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</si>
  <si>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</si>
  <si>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</si>
  <si>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>X0801</t>
    <phoneticPr fontId="2"/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</si>
  <si>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</si>
  <si>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</si>
  <si>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</si>
  <si>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書式</t>
    <rPh sb="0" eb="2">
      <t>ショシキ</t>
    </rPh>
    <phoneticPr fontId="2"/>
  </si>
  <si>
    <t>KGJPN</t>
    <phoneticPr fontId="2"/>
  </si>
  <si>
    <t>K_PI_APIM_H_TBL</t>
    <phoneticPr fontId="2"/>
  </si>
  <si>
    <t>PI債務HEADER</t>
    <phoneticPr fontId="2"/>
  </si>
  <si>
    <t>K_PI_APIM_P_TBL</t>
    <phoneticPr fontId="2"/>
  </si>
  <si>
    <t>PI債務部門別支払情報</t>
    <phoneticPr fontId="2"/>
  </si>
  <si>
    <t>K_PI_APDM_D_TBL</t>
    <phoneticPr fontId="2"/>
  </si>
  <si>
    <t>PI債務決済情報</t>
    <phoneticPr fontId="2"/>
  </si>
  <si>
    <t>K_PI_AP_ID</t>
  </si>
  <si>
    <t>債務ID</t>
  </si>
  <si>
    <t>K_AP_PMT_MTHD_KG</t>
    <phoneticPr fontId="2"/>
  </si>
  <si>
    <t>決済方法</t>
    <phoneticPr fontId="2"/>
  </si>
  <si>
    <t>PYMNT_VCHR_XREF</t>
    <phoneticPr fontId="2"/>
  </si>
  <si>
    <t>伝票/支払ｽｹｼﾞｭｰﾙ</t>
    <phoneticPr fontId="2"/>
  </si>
  <si>
    <t>VOUCHER_ID</t>
    <phoneticPr fontId="2"/>
  </si>
  <si>
    <t>伝票ID</t>
    <rPh sb="0" eb="2">
      <t>デンピョウ</t>
    </rPh>
    <phoneticPr fontId="2"/>
  </si>
  <si>
    <t>K_AP_PMTVCHR_RT</t>
    <phoneticPr fontId="2"/>
  </si>
  <si>
    <t>伝票支払付加ﾃｰﾌﾞﾙ</t>
    <phoneticPr fontId="2"/>
  </si>
  <si>
    <t>VOUCHER</t>
    <phoneticPr fontId="2"/>
  </si>
  <si>
    <t>AP 伝票ﾍｯﾀﾞｰ ﾃｰﾌﾞﾙ</t>
    <phoneticPr fontId="2"/>
  </si>
  <si>
    <t>K_AP_VOUCHER</t>
    <phoneticPr fontId="2"/>
  </si>
  <si>
    <t>伝票ﾍｯﾀﾞｰ付加ﾃｰﾌﾞﾙ</t>
    <phoneticPr fontId="2"/>
  </si>
  <si>
    <t>VOUCHER_LINE</t>
    <phoneticPr fontId="2"/>
  </si>
  <si>
    <t>伝票行</t>
    <phoneticPr fontId="2"/>
  </si>
  <si>
    <t>DISTRIB_LINE</t>
    <phoneticPr fontId="2"/>
  </si>
  <si>
    <t>伝票配布ﾃｰﾌﾞﾙ</t>
    <phoneticPr fontId="2"/>
  </si>
  <si>
    <t>AP 支払</t>
    <phoneticPr fontId="2"/>
  </si>
  <si>
    <t>PYMNT_ID</t>
    <phoneticPr fontId="2"/>
  </si>
  <si>
    <t>支払ID</t>
    <rPh sb="0" eb="2">
      <t>シハライ</t>
    </rPh>
    <phoneticPr fontId="2"/>
  </si>
  <si>
    <t>BCH_XREF_EXT</t>
    <phoneticPr fontId="2"/>
  </si>
  <si>
    <t>伝票手数料ﾃｰﾌﾞﾙ</t>
    <phoneticPr fontId="2"/>
  </si>
  <si>
    <t>VCHR_ACCTG_LINE</t>
    <phoneticPr fontId="2"/>
  </si>
  <si>
    <t>AP 会計入力</t>
    <phoneticPr fontId="2"/>
  </si>
  <si>
    <t>PAYMENT_TBL</t>
    <phoneticPr fontId="2"/>
  </si>
  <si>
    <t>電子記録債務手数料ﾃｰﾌﾞﾙ</t>
    <phoneticPr fontId="2"/>
  </si>
  <si>
    <t>K_AP_DNSCHG_TBL</t>
    <phoneticPr fontId="2"/>
  </si>
  <si>
    <t>K_AP_VACTLN_TBL</t>
    <phoneticPr fontId="2"/>
  </si>
  <si>
    <t>補助簿履歴テーブル</t>
    <phoneticPr fontId="2"/>
  </si>
  <si>
    <t>K_CD_SHCO_H_TBL</t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</si>
  <si>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</si>
  <si>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</si>
  <si>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</si>
  <si>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</si>
  <si>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</si>
  <si>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</si>
  <si>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</si>
  <si>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</si>
  <si>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</si>
  <si>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</si>
  <si>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</si>
  <si>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</si>
  <si>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</si>
  <si>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</si>
  <si>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</si>
  <si>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</si>
  <si>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</si>
  <si>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</si>
  <si>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</si>
  <si>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</si>
  <si>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</si>
  <si>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</si>
  <si>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</si>
  <si>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</si>
  <si>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</si>
  <si>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</si>
  <si>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</si>
  <si>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</si>
  <si>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</si>
  <si>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</si>
  <si>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</si>
  <si>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</si>
  <si>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</si>
  <si>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</si>
  <si>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2"/>
  </si>
  <si>
    <t>EP853XDV</t>
    <phoneticPr fontId="2"/>
  </si>
  <si>
    <t>EP853XTS</t>
    <phoneticPr fontId="2"/>
  </si>
  <si>
    <t>EP853XSM</t>
    <phoneticPr fontId="2"/>
  </si>
  <si>
    <t>EP853SCJ</t>
    <phoneticPr fontId="2"/>
  </si>
  <si>
    <t>EP853RTS</t>
    <phoneticPr fontId="2"/>
  </si>
  <si>
    <t>EP853RSM</t>
    <phoneticPr fontId="2"/>
  </si>
  <si>
    <t>VCHRLN_MISC_CHG</t>
    <phoneticPr fontId="2"/>
  </si>
  <si>
    <t xml:space="preserve"> </t>
    <phoneticPr fontId="2"/>
  </si>
  <si>
    <t>PYMNT_VCHR_MSG</t>
    <phoneticPr fontId="2"/>
  </si>
  <si>
    <t>Payment Vchr Xref Message</t>
    <phoneticPr fontId="2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</si>
  <si>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2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</si>
  <si>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2"/>
  </si>
  <si>
    <t>AP/PI　インターフェイス作成</t>
    <rPh sb="14" eb="16">
      <t>サクセイ</t>
    </rPh>
    <phoneticPr fontId="2"/>
  </si>
  <si>
    <t>SELECT t.* FROM PSSQLTEXTDEFN t WHERE t.sqlid = 'AE_TOOLS_CHK_VW' FETCH FIRST 10 ROWS ONLY WITH UR;</t>
  </si>
  <si>
    <t>SELECT t.K_CD_SKRMK_TXT,t.K_NS_CRT_OPRID,t.* FROM PS_K_CD_BI_H_TBL t WHERE t.K_CD_SKRMK_TXT &lt;&gt; '' and t.K_NS_CRT_OPRID &lt;&gt; '' FETCH FIRST 10 ROWS ONLY WITH UR;</t>
    <phoneticPr fontId="2"/>
  </si>
  <si>
    <t>ORC_XE</t>
    <phoneticPr fontId="2"/>
  </si>
  <si>
    <t>Long Char</t>
    <phoneticPr fontId="2"/>
  </si>
  <si>
    <t>EP853RDV</t>
    <phoneticPr fontId="2"/>
  </si>
  <si>
    <t>db2rdv</t>
    <phoneticPr fontId="2"/>
  </si>
  <si>
    <t>IBM</t>
    <phoneticPr fontId="2"/>
  </si>
  <si>
    <t>SELECT * FROM PS_K_CD_SHCO_H_TBL FETCH FIRST 10000 ROWS ONLY WITH UR;</t>
    <phoneticPr fontId="2"/>
  </si>
  <si>
    <t>Performance</t>
    <phoneticPr fontId="2"/>
  </si>
  <si>
    <t>Enter,Tab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</si>
</sst>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shrinkToFit="1"/>
    </xf>
    <xf numFmtId="0" fontId="10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10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674033</xdr:colOff>
          <xdr:row>1</xdr:row>
          <xdr:rowOff>1680</xdr:rowOff>
        </xdr:from>
        <xdr:to>
          <xdr:col>11</xdr:col>
          <xdr:colOff>33617</xdr:colOff>
          <xdr:row>27</xdr:row>
          <xdr:rowOff>11205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35" t="s">
        <v>394</v>
      </c>
      <c r="C3" s="35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BUSINESS_UNIT='X0801' AND DEPTID='' AND K_CD_SHPPLN_ID='';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BUSINESS_UNIT='X0801' AND DEPTID='' AND K_CD_SHPPLN_ID='' WITH UR;</v>
      </c>
      <c r="I3" s="46" t="s">
        <v>367</v>
      </c>
      <c r="J3" s="46" t="s">
        <v>534</v>
      </c>
      <c r="K3" s="47" t="s">
        <v>368</v>
      </c>
      <c r="L3" s="47" t="s">
        <v>369</v>
      </c>
      <c r="M3" s="47" t="s">
        <v>370</v>
      </c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35" t="s">
        <v>396</v>
      </c>
      <c r="C4" s="35" t="s">
        <v>397</v>
      </c>
      <c r="D4" s="33" t="s">
        <v>492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BUSINESS_UNIT='X0801' AND DEPTID='' AND K_CD_TRD_ID='';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BUSINESS_UNIT='X0801' AND DEPTID='' AND K_CD_TRD_ID='' WITH UR;</v>
      </c>
      <c r="I4" s="46" t="s">
        <v>371</v>
      </c>
      <c r="J4" s="46" t="s">
        <v>535</v>
      </c>
      <c r="K4" s="47" t="s">
        <v>368</v>
      </c>
      <c r="L4" s="47" t="s">
        <v>369</v>
      </c>
      <c r="M4" s="47" t="s">
        <v>372</v>
      </c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35" t="s">
        <v>369</v>
      </c>
      <c r="C5" s="35" t="s">
        <v>398</v>
      </c>
      <c r="D5" s="40"/>
      <c r="E5" s="34"/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BUSINESS_UNIT='X0801' AND K_CD_TRD_ID='';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BUSINESS_UNIT='X0801' AND K_CD_TRD_ID='' WITH UR;</v>
      </c>
      <c r="I5" s="46" t="s">
        <v>373</v>
      </c>
      <c r="J5" s="46" t="s">
        <v>536</v>
      </c>
      <c r="K5" s="47" t="s">
        <v>368</v>
      </c>
      <c r="L5" s="47"/>
      <c r="M5" s="47" t="s">
        <v>372</v>
      </c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48" t="s">
        <v>399</v>
      </c>
      <c r="C6" s="48" t="s">
        <v>400</v>
      </c>
      <c r="D6" s="34"/>
      <c r="E6" s="34"/>
      <c r="G6" s="72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BUSINESS_UNIT='X0801' AND DEPTID='' AND K_CD_TRD_ID='';</v>
      </c>
      <c r="H6" s="72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BUSINESS_UNIT='X0801' AND DEPTID='' AND K_CD_TRD_ID='' WITH UR;</v>
      </c>
      <c r="I6" s="46" t="s">
        <v>374</v>
      </c>
      <c r="J6" s="46" t="s">
        <v>537</v>
      </c>
      <c r="K6" s="47" t="s">
        <v>368</v>
      </c>
      <c r="L6" s="47" t="s">
        <v>369</v>
      </c>
      <c r="M6" s="47" t="s">
        <v>372</v>
      </c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35" t="s">
        <v>401</v>
      </c>
      <c r="C7" s="35" t="s">
        <v>402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BUSINESS_UNIT='X0801' AND PROJECT_ID='';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BUSINESS_UNIT='X0801' AND PROJECT_ID='' WITH UR;</v>
      </c>
      <c r="I7" s="46" t="s">
        <v>375</v>
      </c>
      <c r="J7" s="46" t="s">
        <v>538</v>
      </c>
      <c r="K7" s="47" t="s">
        <v>368</v>
      </c>
      <c r="L7" s="47"/>
      <c r="M7" s="47" t="s">
        <v>376</v>
      </c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48" t="s">
        <v>403</v>
      </c>
      <c r="C8" s="48" t="s">
        <v>404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BUSINESS_UNIT='X0801' AND DEPTID='' AND K_CD_SHPPLN_ID='';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BUSINESS_UNIT='X0801' AND DEPTID='' AND K_CD_SHPPLN_ID='' WITH UR;</v>
      </c>
      <c r="I8" s="49" t="s">
        <v>377</v>
      </c>
      <c r="J8" s="49" t="s">
        <v>539</v>
      </c>
      <c r="K8" s="47" t="s">
        <v>368</v>
      </c>
      <c r="L8" s="47" t="s">
        <v>369</v>
      </c>
      <c r="M8" s="47" t="s">
        <v>370</v>
      </c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35" t="s">
        <v>405</v>
      </c>
      <c r="C9" s="35" t="s">
        <v>406</v>
      </c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BUSINESS_UNIT='X0801' AND K_CD_SHPPLN_ID='';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BUSINESS_UNIT='X0801' AND K_CD_SHPPLN_ID='' WITH UR;</v>
      </c>
      <c r="I9" s="49" t="s">
        <v>378</v>
      </c>
      <c r="J9" s="49" t="s">
        <v>540</v>
      </c>
      <c r="K9" s="47" t="s">
        <v>368</v>
      </c>
      <c r="L9" s="47"/>
      <c r="M9" s="47" t="s">
        <v>370</v>
      </c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35" t="s">
        <v>407</v>
      </c>
      <c r="C10" s="35" t="s">
        <v>177</v>
      </c>
      <c r="D10" s="34"/>
      <c r="E10" s="34"/>
      <c r="G10" s="72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BUSINESS_UNIT='X0801' AND K_CD_SHPPLN_ID='';</v>
      </c>
      <c r="H10" s="72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BUSINESS_UNIT='X0801' AND K_CD_SHPPLN_ID='' WITH UR;</v>
      </c>
      <c r="I10" s="49" t="s">
        <v>379</v>
      </c>
      <c r="J10" s="49" t="s">
        <v>541</v>
      </c>
      <c r="K10" s="47" t="s">
        <v>368</v>
      </c>
      <c r="L10" s="47"/>
      <c r="M10" s="47" t="s">
        <v>370</v>
      </c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35" t="s">
        <v>446</v>
      </c>
      <c r="C11" s="35" t="s">
        <v>447</v>
      </c>
      <c r="D11" s="34"/>
      <c r="E11" s="34"/>
      <c r="G11" s="72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BUSINESS_UNIT='X0801' AND K_CD_SHPPLN_ID='';</v>
      </c>
      <c r="H11" s="72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BUSINESS_UNIT='X0801' AND K_CD_SHPPLN_ID='' WITH UR;</v>
      </c>
      <c r="I11" s="49" t="s">
        <v>380</v>
      </c>
      <c r="J11" s="49" t="s">
        <v>542</v>
      </c>
      <c r="K11" s="47" t="s">
        <v>368</v>
      </c>
      <c r="L11" s="47"/>
      <c r="M11" s="47" t="s">
        <v>370</v>
      </c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35" t="s">
        <v>450</v>
      </c>
      <c r="C12" s="35" t="s">
        <v>451</v>
      </c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BUSINESS_UNIT='X0801' AND K_CD_SHPPLN_ID='';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BUSINESS_UNIT='X0801' AND K_CD_SHPPLN_ID='' WITH UR;</v>
      </c>
      <c r="I12" s="49" t="s">
        <v>381</v>
      </c>
      <c r="J12" s="49" t="s">
        <v>543</v>
      </c>
      <c r="K12" s="47" t="s">
        <v>368</v>
      </c>
      <c r="L12" s="47"/>
      <c r="M12" s="47" t="s">
        <v>370</v>
      </c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35" t="s">
        <v>457</v>
      </c>
      <c r="C13" s="35" t="s">
        <v>455</v>
      </c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BUSINESS_UNIT='X0801' AND DEPTID='' AND K_CD_ARVPLN_ID='';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BUSINESS_UNIT='X0801' AND DEPTID='' AND K_CD_ARVPLN_ID='' WITH UR;</v>
      </c>
      <c r="I13" s="50" t="s">
        <v>382</v>
      </c>
      <c r="J13" s="50" t="s">
        <v>544</v>
      </c>
      <c r="K13" s="47" t="s">
        <v>368</v>
      </c>
      <c r="L13" s="47" t="s">
        <v>369</v>
      </c>
      <c r="M13" s="47" t="s">
        <v>383</v>
      </c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35" t="s">
        <v>462</v>
      </c>
      <c r="C14" s="35" t="s">
        <v>468</v>
      </c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BUSINESS_UNIT='X0801' AND K_CD_ARVPLN_ID='';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BUSINESS_UNIT='X0801' AND K_CD_ARVPLN_ID='' WITH UR;</v>
      </c>
      <c r="I14" s="50" t="s">
        <v>384</v>
      </c>
      <c r="J14" s="50" t="s">
        <v>545</v>
      </c>
      <c r="K14" s="47" t="s">
        <v>368</v>
      </c>
      <c r="L14" s="47"/>
      <c r="M14" s="47" t="s">
        <v>383</v>
      </c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BUSINESS_UNIT='X0801' AND K_CD_ARVPLN_ID='';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BUSINESS_UNIT='X0801' AND K_CD_ARVPLN_ID='' WITH UR;</v>
      </c>
      <c r="I15" s="50" t="s">
        <v>385</v>
      </c>
      <c r="J15" s="50" t="s">
        <v>546</v>
      </c>
      <c r="K15" s="47" t="s">
        <v>368</v>
      </c>
      <c r="L15" s="47"/>
      <c r="M15" s="47" t="s">
        <v>383</v>
      </c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BUSINESS_UNIT='X0801' AND K_CD_ARVPLN_ID='';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BUSINESS_UNIT='X0801' AND K_CD_ARVPLN_ID='' WITH UR;</v>
      </c>
      <c r="I16" s="50" t="s">
        <v>386</v>
      </c>
      <c r="J16" s="50" t="s">
        <v>547</v>
      </c>
      <c r="K16" s="47" t="s">
        <v>368</v>
      </c>
      <c r="L16" s="47"/>
      <c r="M16" s="47" t="s">
        <v>383</v>
      </c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'X0801') XTB ON KSC.BUSINESS_UNIT = XTB.BUSINESS_UNIT AND KSC.K_CD_SHPPLN_ID = XTB.K_CD_SHPPLN_ID LEFT JOIN (SELECT KSK.BUSINESS_UNIT,KSK.K_CD_SHPCHK_ID,KSK.K_CD_SHPPLN_ID FROM PS_K_CD_SHCKDH_TBL KSK WHERE KSK.BUSINESS_UNIT = 'X0801') KSCKH ON KSC.BUSINESS_UNIT = KSCKH.BUSINESS_UNIT AND KSC.K_CD_SHPPLN_ID = KSCKH.K_CD_SHPPLN_ID LEFT JOIN (SELECT KSB.BUSINESS_UNIT,KSB.K_CD_SKBIL_ID,KSB.K_CD_SHPPLN_ID FROM PS_K_CD_SKBILB_TBL KSB WHERE KSB.BUSINESS_UNIT = 'X0801')  KSBB ON KSC.BUSINESS_UNIT = KSBB.BUSINESS_UNIT AND KSC.K_CD_SHPPLN_ID = KSBB.K_CD_SHPPLN_ID WHERE KSC.K_CD_SHPPLN_ID = '' WITH UR;</v>
      </c>
      <c r="C17" s="52" t="s">
        <v>493</v>
      </c>
      <c r="G17" s="72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BUSINESS_UNIT='X0801' AND K_CD_ARVPLN_ID='';</v>
      </c>
      <c r="H17" s="72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BUSINESS_UNIT='X0801' AND K_CD_ARVPLN_ID='' WITH UR;</v>
      </c>
      <c r="I17" s="50" t="s">
        <v>387</v>
      </c>
      <c r="J17" s="50" t="s">
        <v>548</v>
      </c>
      <c r="K17" s="47" t="s">
        <v>368</v>
      </c>
      <c r="L17" s="47"/>
      <c r="M17" s="47" t="s">
        <v>383</v>
      </c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2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BUSINESS_UNIT='X0801' AND DEPTID='' AND X_CD_TRLDGR_ID='';</v>
      </c>
      <c r="H18" s="72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BUSINESS_UNIT='X0801' AND DEPTID='' AND X_CD_TRLDGR_ID='' WITH UR;</v>
      </c>
      <c r="I18" s="35" t="s">
        <v>388</v>
      </c>
      <c r="J18" s="35" t="s">
        <v>549</v>
      </c>
      <c r="K18" s="47" t="s">
        <v>368</v>
      </c>
      <c r="L18" s="47" t="s">
        <v>369</v>
      </c>
      <c r="M18" s="47" t="s">
        <v>389</v>
      </c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72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BUSINESS_UNIT='X0801' AND X_CD_TRLDGR_ID='';</v>
      </c>
      <c r="H19" s="72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BUSINESS_UNIT='X0801' AND X_CD_TRLDGR_ID='' WITH UR;</v>
      </c>
      <c r="I19" s="35" t="s">
        <v>390</v>
      </c>
      <c r="J19" s="35" t="s">
        <v>550</v>
      </c>
      <c r="K19" s="47" t="s">
        <v>368</v>
      </c>
      <c r="L19" s="47"/>
      <c r="M19" s="47" t="s">
        <v>389</v>
      </c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493</v>
      </c>
      <c r="G20" s="72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BUSINESS_UNIT='X0801' AND K_CD_DO_NO='';</v>
      </c>
      <c r="H20" s="72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BUSINESS_UNIT='X0801' AND K_CD_DO_NO='' WITH UR;</v>
      </c>
      <c r="I20" s="35" t="s">
        <v>443</v>
      </c>
      <c r="J20" s="35" t="s">
        <v>551</v>
      </c>
      <c r="K20" s="47" t="s">
        <v>368</v>
      </c>
      <c r="L20" s="47"/>
      <c r="M20" s="47" t="s">
        <v>445</v>
      </c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 t="str">
        <f>"FROM PS_K_CD_SHCO_H_TBL KSC "</f>
        <v xml:space="preserve">FROM PS_K_CD_SHCO_H_TBL KSC </v>
      </c>
      <c r="C21" s="13" t="s">
        <v>493</v>
      </c>
      <c r="G21" s="72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BUSINESS_UNIT='X0801' AND K_CD_DO_NO='';</v>
      </c>
      <c r="H21" s="72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BUSINESS_UNIT='X0801' AND K_CD_DO_NO='' WITH UR;</v>
      </c>
      <c r="I21" s="35" t="s">
        <v>444</v>
      </c>
      <c r="J21" s="35" t="s">
        <v>552</v>
      </c>
      <c r="K21" s="47" t="s">
        <v>368</v>
      </c>
      <c r="L21" s="47"/>
      <c r="M21" s="47" t="s">
        <v>445</v>
      </c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'X0801') XTB ON KSC.BUSINESS_UNIT = XTB.BUSINESS_UNIT AND KSC.K_CD_SHPPLN_ID = XTB.K_CD_SHPPLN_ID </v>
      </c>
      <c r="C22" s="13" t="s">
        <v>493</v>
      </c>
      <c r="G22" s="72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BUSINESS_UNIT='X0801' AND DEPTID='' AND K_CD_SHPCHK_ID='';</v>
      </c>
      <c r="H22" s="72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BUSINESS_UNIT='X0801' AND DEPTID='' AND K_CD_SHPCHK_ID='' WITH UR;</v>
      </c>
      <c r="I22" s="54" t="s">
        <v>448</v>
      </c>
      <c r="J22" s="54" t="s">
        <v>553</v>
      </c>
      <c r="K22" s="47" t="s">
        <v>368</v>
      </c>
      <c r="L22" s="47" t="s">
        <v>369</v>
      </c>
      <c r="M22" s="47" t="s">
        <v>449</v>
      </c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'X0801') KSCKH ON KSC.BUSINESS_UNIT = KSCKH.BUSINESS_UNIT AND KSC.K_CD_SHPPLN_ID = KSCKH.K_CD_SHPPLN_ID </v>
      </c>
      <c r="C23" s="13" t="s">
        <v>494</v>
      </c>
      <c r="G23" s="72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BUSINESS_UNIT='X0801' AND DEPTID='' AND K_CD_SHPCHK_ID='';</v>
      </c>
      <c r="H23" s="72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BUSINESS_UNIT='X0801' AND DEPTID='' AND K_CD_SHPCHK_ID='' WITH UR;</v>
      </c>
      <c r="I23" s="54" t="s">
        <v>452</v>
      </c>
      <c r="J23" s="54" t="s">
        <v>554</v>
      </c>
      <c r="K23" s="47" t="s">
        <v>368</v>
      </c>
      <c r="L23" s="47" t="s">
        <v>369</v>
      </c>
      <c r="M23" s="47" t="s">
        <v>449</v>
      </c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'X0801')  KSBB ON KSC.BUSINESS_UNIT = KSBB.BUSINESS_UNIT AND KSC.K_CD_SHPPLN_ID = KSBB.K_CD_SHPPLN_ID </v>
      </c>
      <c r="C24" s="13" t="s">
        <v>494</v>
      </c>
      <c r="G24" s="72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BUSINESS_UNIT='X0801' AND K_CD_SKBIL_ID='';</v>
      </c>
      <c r="H24" s="72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BUSINESS_UNIT='X0801' AND K_CD_SKBIL_ID='' WITH UR;</v>
      </c>
      <c r="I24" s="54" t="s">
        <v>453</v>
      </c>
      <c r="J24" s="54" t="s">
        <v>555</v>
      </c>
      <c r="K24" s="47" t="s">
        <v>368</v>
      </c>
      <c r="L24" s="47"/>
      <c r="M24" s="47" t="s">
        <v>456</v>
      </c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 t="str">
        <f>"WHERE KSC.K_CD_SHPPLN_ID = '"&amp;D6&amp;"' WITH UR;"</f>
        <v>WHERE KSC.K_CD_SHPPLN_ID = '' WITH UR;</v>
      </c>
      <c r="C25" s="13" t="s">
        <v>493</v>
      </c>
      <c r="G25" s="72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BUSINESS_UNIT='X0801' AND K_CD_SKBIL_ID='';</v>
      </c>
      <c r="H25" s="72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BUSINESS_UNIT='X0801' AND K_CD_SKBIL_ID='' WITH UR;</v>
      </c>
      <c r="I25" s="54" t="s">
        <v>454</v>
      </c>
      <c r="J25" s="54" t="s">
        <v>556</v>
      </c>
      <c r="K25" s="47" t="s">
        <v>368</v>
      </c>
      <c r="L25" s="47"/>
      <c r="M25" s="47" t="s">
        <v>456</v>
      </c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72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BUSINESS_UNIT='X0801' AND DEPTID='' AND K_CD_ARVCHK_ID='';</v>
      </c>
      <c r="H26" s="72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BUSINESS_UNIT='X0801' AND DEPTID='' AND K_CD_ARVCHK_ID='' WITH UR;</v>
      </c>
      <c r="I26" s="55" t="s">
        <v>463</v>
      </c>
      <c r="J26" s="55" t="s">
        <v>557</v>
      </c>
      <c r="K26" s="47" t="s">
        <v>368</v>
      </c>
      <c r="L26" s="47" t="s">
        <v>369</v>
      </c>
      <c r="M26" s="47" t="s">
        <v>462</v>
      </c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72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BUSINESS_UNIT='X0801' AND K_CD_ARVCHK_ID='';</v>
      </c>
      <c r="H27" s="72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BUSINESS_UNIT='X0801' AND K_CD_ARVCHK_ID='' WITH UR;</v>
      </c>
      <c r="I27" s="55" t="s">
        <v>464</v>
      </c>
      <c r="J27" s="55" t="s">
        <v>558</v>
      </c>
      <c r="K27" s="47" t="s">
        <v>368</v>
      </c>
      <c r="L27" s="47"/>
      <c r="M27" s="47" t="s">
        <v>462</v>
      </c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72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BUSINESS_UNIT='X0801' AND K_CD_ARVCHK_ID='';</v>
      </c>
      <c r="H28" s="72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BUSINESS_UNIT='X0801' AND K_CD_ARVCHK_ID='' WITH UR;</v>
      </c>
      <c r="I28" s="55" t="s">
        <v>465</v>
      </c>
      <c r="J28" s="55" t="s">
        <v>559</v>
      </c>
      <c r="K28" s="47" t="s">
        <v>368</v>
      </c>
      <c r="L28" s="47"/>
      <c r="M28" s="47" t="s">
        <v>462</v>
      </c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72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BUSINESS_UNIT='X0801' AND K_CD_ARVCHK_ID='';</v>
      </c>
      <c r="H29" s="72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BUSINESS_UNIT='X0801' AND K_CD_ARVCHK_ID='' WITH UR;</v>
      </c>
      <c r="I29" s="55" t="s">
        <v>466</v>
      </c>
      <c r="J29" s="55" t="s">
        <v>560</v>
      </c>
      <c r="K29" s="47" t="s">
        <v>368</v>
      </c>
      <c r="L29" s="47"/>
      <c r="M29" s="47" t="s">
        <v>462</v>
      </c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72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BUSINESS_UNIT='X0801' AND K_CD_ARVCHK_ID='';</v>
      </c>
      <c r="H30" s="72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BUSINESS_UNIT='X0801' AND K_CD_ARVCHK_ID='' WITH UR;</v>
      </c>
      <c r="I30" s="55" t="s">
        <v>467</v>
      </c>
      <c r="J30" s="55" t="s">
        <v>561</v>
      </c>
      <c r="K30" s="47" t="s">
        <v>368</v>
      </c>
      <c r="L30" s="47"/>
      <c r="M30" s="47" t="s">
        <v>462</v>
      </c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 t="s">
        <v>478</v>
      </c>
      <c r="C32" s="57"/>
      <c r="D32" s="57"/>
      <c r="E32" s="58"/>
    </row>
    <row r="33" spans="1:5" x14ac:dyDescent="0.15">
      <c r="B33" s="59" t="s">
        <v>479</v>
      </c>
      <c r="C33" s="60"/>
      <c r="D33" s="60"/>
      <c r="E33" s="61"/>
    </row>
    <row r="34" spans="1:5" x14ac:dyDescent="0.15">
      <c r="B34" s="59" t="s">
        <v>480</v>
      </c>
      <c r="C34" s="60"/>
      <c r="D34" s="60"/>
      <c r="E34" s="61"/>
    </row>
    <row r="35" spans="1:5" x14ac:dyDescent="0.15">
      <c r="B35" s="59" t="s">
        <v>481</v>
      </c>
      <c r="C35" s="60"/>
      <c r="D35" s="60"/>
      <c r="E35" s="61"/>
    </row>
    <row r="36" spans="1:5" x14ac:dyDescent="0.15">
      <c r="B36" s="59" t="s">
        <v>482</v>
      </c>
      <c r="C36" s="60"/>
      <c r="D36" s="60"/>
      <c r="E36" s="61"/>
    </row>
    <row r="37" spans="1:5" x14ac:dyDescent="0.15">
      <c r="B37" s="59" t="s">
        <v>483</v>
      </c>
      <c r="C37" s="60"/>
      <c r="D37" s="60"/>
      <c r="E37" s="61"/>
    </row>
    <row r="38" spans="1:5" x14ac:dyDescent="0.15">
      <c r="B38" s="59" t="s">
        <v>484</v>
      </c>
      <c r="C38" s="60"/>
      <c r="D38" s="60"/>
      <c r="E38" s="61"/>
    </row>
    <row r="39" spans="1:5" x14ac:dyDescent="0.15">
      <c r="B39" s="59" t="s">
        <v>485</v>
      </c>
      <c r="C39" s="60"/>
      <c r="D39" s="60"/>
      <c r="E39" s="61"/>
    </row>
    <row r="40" spans="1:5" x14ac:dyDescent="0.15">
      <c r="B40" s="59" t="s">
        <v>486</v>
      </c>
      <c r="C40" s="60"/>
      <c r="D40" s="60"/>
      <c r="E40" s="61"/>
    </row>
    <row r="41" spans="1:5" x14ac:dyDescent="0.15">
      <c r="B41" s="59" t="s">
        <v>487</v>
      </c>
      <c r="C41" s="60"/>
      <c r="D41" s="60"/>
      <c r="E41" s="61"/>
    </row>
    <row r="42" spans="1:5" x14ac:dyDescent="0.15">
      <c r="B42" s="59" t="s">
        <v>488</v>
      </c>
      <c r="C42" s="60"/>
      <c r="D42" s="60"/>
      <c r="E42" s="61"/>
    </row>
    <row r="43" spans="1:5" x14ac:dyDescent="0.15">
      <c r="B43" s="59" t="s">
        <v>489</v>
      </c>
      <c r="C43" s="60"/>
      <c r="D43" s="60"/>
      <c r="E43" s="61"/>
    </row>
    <row r="44" spans="1:5" x14ac:dyDescent="0.15">
      <c r="B44" s="59" t="s">
        <v>490</v>
      </c>
      <c r="C44" s="60"/>
      <c r="D44" s="60"/>
      <c r="E44" s="61"/>
    </row>
    <row r="45" spans="1:5" x14ac:dyDescent="0.15">
      <c r="A45" s="13" t="s">
        <v>496</v>
      </c>
      <c r="B45" s="66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'X0801') XTB ON KSC.BUSINESS_UNIT = XTB.BUSINESS_UNIT AND KSC.K_CD_SHPPLN_ID = XTB.K_CD_SHPPLN_ID</v>
      </c>
      <c r="C45" s="60"/>
      <c r="D45" s="60"/>
      <c r="E45" s="61"/>
    </row>
    <row r="46" spans="1:5" x14ac:dyDescent="0.15">
      <c r="A46" s="13" t="s">
        <v>496</v>
      </c>
      <c r="B46" s="66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'X0801') KSCKH ON KSC.BUSINESS_UNIT = KSCKH.BUSINESS_UNIT AND KSC.K_CD_SHPPLN_ID = KSCKH.K_CD_SHPPLN_ID</v>
      </c>
      <c r="C46" s="60"/>
      <c r="D46" s="60"/>
      <c r="E46" s="61"/>
    </row>
    <row r="47" spans="1:5" x14ac:dyDescent="0.15">
      <c r="A47" s="13" t="s">
        <v>496</v>
      </c>
      <c r="B47" s="66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'X0801')  KSBB ON KSC.BUSINESS_UNIT = KSBB.BUSINESS_UNIT AND KSC.K_CD_SHPPLN_ID = KSBB.K_CD_SHPPLN_ID</v>
      </c>
      <c r="C47" s="60"/>
      <c r="D47" s="60"/>
      <c r="E47" s="61"/>
    </row>
    <row r="48" spans="1:5" x14ac:dyDescent="0.15">
      <c r="A48" s="13" t="s">
        <v>496</v>
      </c>
      <c r="B48" s="66" t="str">
        <f>"WHERE KSC.K_CD_SHPPLN_ID = '"&amp;D6&amp;"'"</f>
        <v>WHERE KSC.K_CD_SHPPLN_ID = ''</v>
      </c>
      <c r="C48" s="60"/>
      <c r="D48" s="60"/>
      <c r="E48" s="61"/>
    </row>
    <row r="49" spans="2:5" x14ac:dyDescent="0.15">
      <c r="B49" s="62" t="s">
        <v>491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s="73" t="str">
        <f ca="1">"DELETE FROM PS_"&amp;$E1&amp;" WHERE "&amp;$G1&amp;"='"&amp;$C$1&amp;"' AND "&amp;$H1&amp;" = '"&amp;$C$3&amp;"';"</f>
        <v>DELETE FROM PS_GROUP_CONTROL WHERE GROUP_BU='KGJPN' AND GROUP_ID = 'CD2016032400020';</v>
      </c>
      <c r="B1" s="19" t="s">
        <v>40</v>
      </c>
      <c r="C1" s="26" t="s">
        <v>42</v>
      </c>
      <c r="E1" t="s">
        <v>562</v>
      </c>
      <c r="G1" s="18" t="s">
        <v>206</v>
      </c>
      <c r="H1" s="18" t="s">
        <v>207</v>
      </c>
      <c r="J1" s="73" t="str">
        <f ca="1">"SELECT * FROM PS_"&amp;$E1&amp;" WHERE "&amp;$G1&amp;"='"&amp;$C$1&amp;"' AND "&amp;$H1&amp;" = '"&amp;$C$3&amp;"';"</f>
        <v>SELECT * FROM PS_GROUP_CONTROL WHERE GROUP_BU='KGJPN' AND GROUP_ID = 'CD2016032400020';</v>
      </c>
    </row>
    <row r="2" spans="1:185" x14ac:dyDescent="0.15">
      <c r="A2" s="73" t="str">
        <f t="shared" ref="A2:A8" ca="1" si="0">"DELETE FROM PS_"&amp;$E2&amp;" WHERE "&amp;$G2&amp;"='"&amp;$C$1&amp;"' AND "&amp;$H2&amp;" = '"&amp;$C$3&amp;"';"</f>
        <v>DELETE FROM PS_PENDING_ITEM WHERE GROUP_BU='KGJPN' AND ITEM = 'CD2016032400020';</v>
      </c>
      <c r="B2" s="19" t="s">
        <v>41</v>
      </c>
      <c r="C2" s="31" t="s">
        <v>414</v>
      </c>
      <c r="E2" t="s">
        <v>563</v>
      </c>
      <c r="G2" s="18" t="s">
        <v>206</v>
      </c>
      <c r="H2" s="18" t="s">
        <v>46</v>
      </c>
      <c r="J2" s="73" t="str">
        <f t="shared" ref="J2:J8" ca="1" si="1">"SELECT * FROM PS_"&amp;$E2&amp;" WHERE "&amp;$G2&amp;"='"&amp;$C$1&amp;"' AND "&amp;$H2&amp;" = '"&amp;$C$3&amp;"';"</f>
        <v>SELECT * FROM PS_PENDING_ITEM WHERE GROUP_BU='KGJPN' AND ITEM = 'CD2016032400020';</v>
      </c>
    </row>
    <row r="3" spans="1:185" x14ac:dyDescent="0.15">
      <c r="A3" s="73" t="str">
        <f t="shared" ca="1" si="0"/>
        <v>DELETE FROM PS_PENDING_DST WHERE GROUP_BU='KGJPN' AND ITEM = 'CD2016032400020';</v>
      </c>
      <c r="B3" s="19" t="s">
        <v>64</v>
      </c>
      <c r="C3" s="31" t="str">
        <f ca="1">"CD2016"&amp;REPT("0",2-LENB(MONTH(TODAY())))&amp;MONTH(TODAY())&amp;REPT("0",2-LENB(DAY(TODAY())))&amp;DAY(TODAY())&amp;"00020"</f>
        <v>CD2016032400020</v>
      </c>
      <c r="E3" t="s">
        <v>564</v>
      </c>
      <c r="G3" s="18" t="s">
        <v>206</v>
      </c>
      <c r="H3" s="18" t="s">
        <v>46</v>
      </c>
      <c r="J3" s="73" t="str">
        <f t="shared" ca="1" si="1"/>
        <v>SELECT * FROM PS_PENDING_DST WHERE GROUP_BU='KGJPN' AND ITEM = 'CD2016032400020';</v>
      </c>
    </row>
    <row r="4" spans="1:185" x14ac:dyDescent="0.15">
      <c r="A4" s="73" t="str">
        <f t="shared" ca="1" si="0"/>
        <v>DELETE FROM PS_PENDING_VAT WHERE GROUP_BU='KGJPN' AND ITEM = 'CD2016032400020';</v>
      </c>
      <c r="B4" s="19" t="s">
        <v>228</v>
      </c>
      <c r="C4" s="32">
        <f>$C$5*1.08</f>
        <v>216000</v>
      </c>
      <c r="E4" t="s">
        <v>565</v>
      </c>
      <c r="G4" s="18" t="s">
        <v>206</v>
      </c>
      <c r="H4" s="18" t="s">
        <v>46</v>
      </c>
      <c r="J4" s="73" t="str">
        <f t="shared" ca="1" si="1"/>
        <v>SELECT * FROM PS_PENDING_VAT WHERE GROUP_BU='KGJPN' AND ITEM = 'CD2016032400020';</v>
      </c>
    </row>
    <row r="5" spans="1:185" x14ac:dyDescent="0.15">
      <c r="A5" s="73" t="str">
        <f t="shared" ca="1" si="0"/>
        <v>DELETE FROM PS_ITEM_ACTIVITY WHERE BUSINESS_UNIT='KGJPN' AND ITEM = 'CD2016032400020';</v>
      </c>
      <c r="B5" s="19" t="s">
        <v>358</v>
      </c>
      <c r="C5" s="27">
        <v>200000</v>
      </c>
      <c r="E5" t="s">
        <v>566</v>
      </c>
      <c r="G5" s="18" t="s">
        <v>35</v>
      </c>
      <c r="H5" s="18" t="s">
        <v>46</v>
      </c>
      <c r="J5" s="73" t="str">
        <f t="shared" ca="1" si="1"/>
        <v>SELECT * FROM PS_ITEM_ACTIVITY WHERE BUSINESS_UNIT='KGJPN' AND ITEM = 'CD2016032400020';</v>
      </c>
    </row>
    <row r="6" spans="1:185" x14ac:dyDescent="0.15">
      <c r="A6" s="73" t="str">
        <f t="shared" ca="1" si="0"/>
        <v>DELETE FROM PS_ITEM WHERE BUSINESS_UNIT='KGJPN' AND ITEM = 'CD2016032400020';</v>
      </c>
      <c r="B6" s="19" t="s">
        <v>415</v>
      </c>
      <c r="C6" s="32">
        <f>$C$4-$C$5</f>
        <v>16000</v>
      </c>
      <c r="E6" t="s">
        <v>46</v>
      </c>
      <c r="G6" s="18" t="s">
        <v>35</v>
      </c>
      <c r="H6" s="18" t="s">
        <v>46</v>
      </c>
      <c r="J6" s="73" t="str">
        <f t="shared" ca="1" si="1"/>
        <v>SELECT * FROM PS_ITEM WHERE BUSINESS_UNIT='KGJPN' AND ITEM = 'CD2016032400020';</v>
      </c>
    </row>
    <row r="7" spans="1:185" x14ac:dyDescent="0.15">
      <c r="A7" s="73" t="str">
        <f t="shared" ca="1" si="0"/>
        <v>DELETE FROM PS_ITEM_ACT_VAT WHERE BUSINESS_UNIT='KGJPN' AND ITEM = 'CD2016032400020';</v>
      </c>
      <c r="B7" s="19" t="s">
        <v>297</v>
      </c>
      <c r="C7" s="27" t="s">
        <v>416</v>
      </c>
      <c r="E7" t="s">
        <v>567</v>
      </c>
      <c r="G7" s="18" t="s">
        <v>35</v>
      </c>
      <c r="H7" s="18" t="s">
        <v>46</v>
      </c>
      <c r="J7" s="73" t="str">
        <f t="shared" ca="1" si="1"/>
        <v>SELECT * FROM PS_ITEM_ACT_VAT WHERE BUSINESS_UNIT='KGJPN' AND ITEM = 'CD2016032400020';</v>
      </c>
    </row>
    <row r="8" spans="1:185" x14ac:dyDescent="0.15">
      <c r="A8" s="73" t="str">
        <f t="shared" ca="1" si="0"/>
        <v>DELETE FROM PS_ITEM_DST WHERE BUSINESS_UNIT='KGJPN' AND ITEM = 'CD2016032400020';</v>
      </c>
      <c r="E8" t="s">
        <v>568</v>
      </c>
      <c r="G8" s="28" t="s">
        <v>35</v>
      </c>
      <c r="H8" s="28" t="s">
        <v>46</v>
      </c>
      <c r="J8" s="73" t="str">
        <f t="shared" ca="1" si="1"/>
        <v>SELECT * FROM PS_ITEM_DST WHERE BUSINESS_UNIT='KGJPN' AND ITEM = 'CD2016032400020';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--CD2016032400020</v>
      </c>
      <c r="B11" s="3" t="s">
        <v>417</v>
      </c>
      <c r="E11" t="s">
        <v>418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206</v>
      </c>
      <c r="C12" s="18" t="s">
        <v>207</v>
      </c>
      <c r="D12" s="18" t="s">
        <v>305</v>
      </c>
      <c r="E12" s="18" t="s">
        <v>332</v>
      </c>
      <c r="F12" s="18" t="s">
        <v>35</v>
      </c>
      <c r="G12" s="18" t="s">
        <v>218</v>
      </c>
      <c r="H12" s="18" t="s">
        <v>333</v>
      </c>
      <c r="I12" s="18" t="s">
        <v>334</v>
      </c>
      <c r="J12" s="18" t="s">
        <v>335</v>
      </c>
      <c r="K12" s="18" t="s">
        <v>336</v>
      </c>
      <c r="L12" s="18" t="s">
        <v>321</v>
      </c>
      <c r="M12" s="18" t="s">
        <v>337</v>
      </c>
      <c r="N12" s="18" t="s">
        <v>338</v>
      </c>
      <c r="O12" s="18" t="s">
        <v>339</v>
      </c>
      <c r="P12" s="18" t="s">
        <v>340</v>
      </c>
      <c r="Q12" s="18" t="s">
        <v>341</v>
      </c>
      <c r="R12" s="18" t="s">
        <v>208</v>
      </c>
      <c r="S12" s="18" t="s">
        <v>216</v>
      </c>
      <c r="T12" s="18" t="s">
        <v>342</v>
      </c>
      <c r="U12" s="18" t="s">
        <v>343</v>
      </c>
      <c r="V12" s="18" t="s">
        <v>70</v>
      </c>
      <c r="W12" s="36" t="s">
        <v>68</v>
      </c>
      <c r="X12" s="18" t="s">
        <v>63</v>
      </c>
      <c r="Y12" s="18" t="s">
        <v>344</v>
      </c>
      <c r="Z12" s="18" t="s">
        <v>345</v>
      </c>
      <c r="AA12" s="18" t="s">
        <v>203</v>
      </c>
      <c r="AB12" s="18" t="s">
        <v>204</v>
      </c>
      <c r="AC12" s="18" t="s">
        <v>205</v>
      </c>
      <c r="AD12" s="18" t="s">
        <v>217</v>
      </c>
      <c r="AE12" s="18" t="s">
        <v>211</v>
      </c>
      <c r="AF12" s="18" t="s">
        <v>212</v>
      </c>
      <c r="AG12" s="18" t="s">
        <v>213</v>
      </c>
      <c r="AH12" s="18" t="s">
        <v>214</v>
      </c>
      <c r="AI12" s="18" t="s">
        <v>325</v>
      </c>
      <c r="AJ12" s="18" t="s">
        <v>346</v>
      </c>
      <c r="AK12" s="18" t="s">
        <v>210</v>
      </c>
      <c r="AL12" s="18" t="s">
        <v>347</v>
      </c>
      <c r="AM12" s="18" t="s">
        <v>348</v>
      </c>
      <c r="AN12" s="18" t="s">
        <v>349</v>
      </c>
      <c r="AO12" s="18" t="s">
        <v>139</v>
      </c>
      <c r="AP12" s="18" t="s">
        <v>140</v>
      </c>
      <c r="AQ12" s="18" t="s">
        <v>141</v>
      </c>
      <c r="AR12" s="18" t="s">
        <v>224</v>
      </c>
      <c r="AS12" s="18" t="s">
        <v>227</v>
      </c>
      <c r="AT12" t="s">
        <v>419</v>
      </c>
    </row>
    <row r="13" spans="1:185" x14ac:dyDescent="0.15">
      <c r="A13" s="25" t="str">
        <f ca="1">AT13</f>
        <v>('KGJPN','CD2016032400020','PSBATCH','PSBATCH','KGJPN','B','I','E','C','A',216000,1,216000,1,216000,1,1,'PSCD1','2016-04-01','2016-04-01','2016-04-02','2016-03-31',0,'I','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CD2016032400020</v>
      </c>
      <c r="D13" s="20" t="s">
        <v>331</v>
      </c>
      <c r="E13" s="20" t="s">
        <v>331</v>
      </c>
      <c r="F13" s="15" t="str">
        <f>$C$1</f>
        <v>KGJPN</v>
      </c>
      <c r="G13" s="20" t="s">
        <v>230</v>
      </c>
      <c r="H13" s="20" t="s">
        <v>196</v>
      </c>
      <c r="I13" s="20" t="s">
        <v>330</v>
      </c>
      <c r="J13" s="20" t="s">
        <v>188</v>
      </c>
      <c r="K13" s="20" t="s">
        <v>301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229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196</v>
      </c>
      <c r="Z13" s="20" t="s">
        <v>43</v>
      </c>
      <c r="AA13" s="20" t="s">
        <v>43</v>
      </c>
      <c r="AB13" s="20" t="s">
        <v>43</v>
      </c>
      <c r="AC13" s="21">
        <v>0</v>
      </c>
      <c r="AD13" s="20" t="s">
        <v>43</v>
      </c>
      <c r="AE13" s="20" t="s">
        <v>43</v>
      </c>
      <c r="AF13" s="20" t="s">
        <v>43</v>
      </c>
      <c r="AG13" s="21">
        <v>0</v>
      </c>
      <c r="AH13" s="21">
        <v>1</v>
      </c>
      <c r="AI13" s="20" t="s">
        <v>193</v>
      </c>
      <c r="AJ13" s="20" t="s">
        <v>193</v>
      </c>
      <c r="AK13" s="21">
        <v>0</v>
      </c>
      <c r="AL13" s="20" t="s">
        <v>0</v>
      </c>
      <c r="AM13" s="20" t="s">
        <v>43</v>
      </c>
      <c r="AN13" s="20" t="s">
        <v>65</v>
      </c>
      <c r="AO13" s="20" t="str">
        <f>$C$1</f>
        <v>KGJPN</v>
      </c>
      <c r="AP13" s="20" t="s">
        <v>199</v>
      </c>
      <c r="AQ13" s="20" t="s">
        <v>200</v>
      </c>
      <c r="AR13" s="20" t="s">
        <v>43</v>
      </c>
      <c r="AS13" s="20" t="s">
        <v>43</v>
      </c>
      <c r="AT13" t="str">
        <f ca="1">AU13&amp;AV13&amp;AW13&amp;AX13&amp;AY13&amp;AZ13&amp;BA13&amp;BB13&amp;BC13&amp;BD13&amp;BE13&amp;BF13&amp;BG13&amp;BH13&amp;BI13&amp;BJ13</f>
        <v>('KGJPN','CD2016032400020','PSBATCH','PSBATCH','KGJPN','B','I','E','C','A',216000,1,216000,1,216000,1,1,'PSCD1','2016-04-01','2016-04-01','2016-04-02','2016-03-31',0,'I','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('KGJPN','CD2016032400020','PSBATCH','PSBATCH','KGJPN','B','I','E','C','A',216000,1,216000,1,216000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420</v>
      </c>
    </row>
    <row r="14" spans="1:185" hidden="1" x14ac:dyDescent="0.15">
      <c r="B14" s="3" t="s">
        <v>421</v>
      </c>
      <c r="E14" t="s">
        <v>422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206</v>
      </c>
      <c r="C15" s="18" t="s">
        <v>207</v>
      </c>
      <c r="D15" s="18" t="s">
        <v>35</v>
      </c>
      <c r="E15" s="18" t="s">
        <v>36</v>
      </c>
      <c r="F15" s="18" t="s">
        <v>46</v>
      </c>
      <c r="G15" s="18" t="s">
        <v>47</v>
      </c>
      <c r="H15" s="18" t="s">
        <v>208</v>
      </c>
      <c r="I15" s="18" t="s">
        <v>49</v>
      </c>
      <c r="J15" s="18" t="s">
        <v>50</v>
      </c>
      <c r="K15" s="18" t="s">
        <v>202</v>
      </c>
      <c r="L15" s="18" t="s">
        <v>52</v>
      </c>
      <c r="M15" s="36" t="s">
        <v>68</v>
      </c>
      <c r="N15" s="36" t="s">
        <v>69</v>
      </c>
      <c r="O15" s="37" t="s">
        <v>70</v>
      </c>
      <c r="P15" s="37" t="s">
        <v>71</v>
      </c>
      <c r="Q15" s="18" t="s">
        <v>72</v>
      </c>
      <c r="R15" s="18" t="s">
        <v>73</v>
      </c>
      <c r="S15" s="18" t="s">
        <v>74</v>
      </c>
      <c r="T15" s="18" t="s">
        <v>75</v>
      </c>
      <c r="U15" s="18" t="s">
        <v>76</v>
      </c>
      <c r="V15" s="18" t="s">
        <v>77</v>
      </c>
      <c r="W15" s="18" t="s">
        <v>45</v>
      </c>
      <c r="X15" s="18" t="s">
        <v>78</v>
      </c>
      <c r="Y15" s="18" t="s">
        <v>48</v>
      </c>
      <c r="Z15" s="18" t="s">
        <v>79</v>
      </c>
      <c r="AA15" s="18" t="s">
        <v>311</v>
      </c>
      <c r="AB15" s="18" t="s">
        <v>80</v>
      </c>
      <c r="AC15" s="18" t="s">
        <v>81</v>
      </c>
      <c r="AD15" s="18" t="s">
        <v>82</v>
      </c>
      <c r="AE15" s="18" t="s">
        <v>83</v>
      </c>
      <c r="AF15" s="18" t="s">
        <v>84</v>
      </c>
      <c r="AG15" s="18" t="s">
        <v>86</v>
      </c>
      <c r="AH15" s="18" t="s">
        <v>87</v>
      </c>
      <c r="AI15" s="18" t="s">
        <v>88</v>
      </c>
      <c r="AJ15" s="18" t="s">
        <v>53</v>
      </c>
      <c r="AK15" s="18" t="s">
        <v>91</v>
      </c>
      <c r="AL15" s="18" t="s">
        <v>93</v>
      </c>
      <c r="AM15" s="18" t="s">
        <v>94</v>
      </c>
      <c r="AN15" s="18" t="s">
        <v>95</v>
      </c>
      <c r="AO15" s="18" t="s">
        <v>96</v>
      </c>
      <c r="AP15" s="18" t="s">
        <v>97</v>
      </c>
      <c r="AQ15" s="18" t="s">
        <v>98</v>
      </c>
      <c r="AR15" s="18" t="s">
        <v>99</v>
      </c>
      <c r="AS15" s="18" t="s">
        <v>100</v>
      </c>
      <c r="AT15" s="18" t="s">
        <v>312</v>
      </c>
      <c r="AU15" s="18" t="s">
        <v>51</v>
      </c>
      <c r="AV15" s="18" t="s">
        <v>313</v>
      </c>
      <c r="AW15" s="18" t="s">
        <v>103</v>
      </c>
      <c r="AX15" s="18" t="s">
        <v>104</v>
      </c>
      <c r="AY15" s="18" t="s">
        <v>106</v>
      </c>
      <c r="AZ15" s="18" t="s">
        <v>37</v>
      </c>
      <c r="BA15" s="18" t="s">
        <v>38</v>
      </c>
      <c r="BB15" s="18" t="s">
        <v>209</v>
      </c>
      <c r="BC15" s="18" t="s">
        <v>60</v>
      </c>
      <c r="BD15" s="18" t="s">
        <v>61</v>
      </c>
      <c r="BE15" s="18" t="s">
        <v>62</v>
      </c>
      <c r="BF15" s="18" t="s">
        <v>210</v>
      </c>
      <c r="BG15" s="18" t="s">
        <v>211</v>
      </c>
      <c r="BH15" s="18" t="s">
        <v>215</v>
      </c>
      <c r="BI15" s="18" t="s">
        <v>58</v>
      </c>
      <c r="BJ15" s="18" t="s">
        <v>56</v>
      </c>
      <c r="BK15" s="18" t="s">
        <v>59</v>
      </c>
      <c r="BL15" s="18" t="s">
        <v>314</v>
      </c>
      <c r="BM15" s="18" t="s">
        <v>118</v>
      </c>
      <c r="BN15" s="18" t="s">
        <v>117</v>
      </c>
      <c r="BO15" s="18" t="s">
        <v>119</v>
      </c>
      <c r="BP15" s="18" t="s">
        <v>120</v>
      </c>
      <c r="BQ15" s="18" t="s">
        <v>110</v>
      </c>
      <c r="BR15" s="18" t="s">
        <v>111</v>
      </c>
      <c r="BS15" s="18" t="s">
        <v>238</v>
      </c>
      <c r="BT15" s="18" t="s">
        <v>239</v>
      </c>
      <c r="BU15" s="18" t="s">
        <v>242</v>
      </c>
      <c r="BV15" s="18" t="s">
        <v>243</v>
      </c>
      <c r="BW15" s="18" t="s">
        <v>112</v>
      </c>
      <c r="BX15" s="18" t="s">
        <v>113</v>
      </c>
      <c r="BY15" s="18" t="s">
        <v>114</v>
      </c>
      <c r="BZ15" s="18" t="s">
        <v>115</v>
      </c>
      <c r="CA15" s="18" t="s">
        <v>116</v>
      </c>
      <c r="CB15" s="18" t="s">
        <v>315</v>
      </c>
      <c r="CC15" s="18" t="s">
        <v>121</v>
      </c>
      <c r="CD15" s="18" t="s">
        <v>235</v>
      </c>
      <c r="CE15" s="18" t="s">
        <v>122</v>
      </c>
      <c r="CF15" s="18" t="s">
        <v>123</v>
      </c>
      <c r="CG15" s="18" t="s">
        <v>124</v>
      </c>
      <c r="CH15" s="18" t="s">
        <v>125</v>
      </c>
      <c r="CI15" s="18" t="s">
        <v>126</v>
      </c>
      <c r="CJ15" s="18" t="s">
        <v>127</v>
      </c>
      <c r="CK15" s="18" t="s">
        <v>128</v>
      </c>
      <c r="CL15" s="18" t="s">
        <v>131</v>
      </c>
      <c r="CM15" s="18" t="s">
        <v>132</v>
      </c>
      <c r="CN15" s="18" t="s">
        <v>133</v>
      </c>
      <c r="CO15" s="18" t="s">
        <v>33</v>
      </c>
      <c r="CP15" s="18" t="s">
        <v>34</v>
      </c>
      <c r="CQ15" s="18" t="s">
        <v>134</v>
      </c>
      <c r="CR15" s="18" t="s">
        <v>135</v>
      </c>
      <c r="CS15" s="18" t="s">
        <v>136</v>
      </c>
      <c r="CT15" s="18" t="s">
        <v>137</v>
      </c>
      <c r="CU15" s="18" t="s">
        <v>306</v>
      </c>
      <c r="CV15" s="18" t="s">
        <v>139</v>
      </c>
      <c r="CW15" s="18" t="s">
        <v>140</v>
      </c>
      <c r="CX15" s="18" t="s">
        <v>141</v>
      </c>
      <c r="CY15" s="18" t="s">
        <v>142</v>
      </c>
      <c r="CZ15" s="18" t="s">
        <v>143</v>
      </c>
      <c r="DA15" s="18" t="s">
        <v>145</v>
      </c>
      <c r="DB15" s="18" t="s">
        <v>146</v>
      </c>
      <c r="DC15" s="18" t="s">
        <v>144</v>
      </c>
      <c r="DD15" s="18" t="s">
        <v>316</v>
      </c>
      <c r="DE15" s="18" t="s">
        <v>317</v>
      </c>
      <c r="DF15" s="18" t="s">
        <v>39</v>
      </c>
      <c r="DG15" s="18" t="s">
        <v>318</v>
      </c>
      <c r="DH15" s="18" t="s">
        <v>286</v>
      </c>
      <c r="DI15" s="18" t="s">
        <v>287</v>
      </c>
      <c r="DJ15" s="36" t="s">
        <v>288</v>
      </c>
      <c r="DK15" s="18" t="s">
        <v>289</v>
      </c>
      <c r="DL15" s="18" t="s">
        <v>63</v>
      </c>
      <c r="DM15" s="18" t="s">
        <v>54</v>
      </c>
      <c r="DN15" s="18" t="s">
        <v>55</v>
      </c>
      <c r="DO15" s="18" t="s">
        <v>147</v>
      </c>
      <c r="DP15" s="18" t="s">
        <v>148</v>
      </c>
      <c r="DQ15" s="18" t="s">
        <v>149</v>
      </c>
      <c r="DR15" s="18" t="s">
        <v>150</v>
      </c>
      <c r="DS15" s="18" t="s">
        <v>151</v>
      </c>
      <c r="DT15" s="18" t="s">
        <v>152</v>
      </c>
      <c r="DU15" s="36" t="s">
        <v>153</v>
      </c>
      <c r="DV15" s="18" t="s">
        <v>154</v>
      </c>
      <c r="DW15" s="18" t="s">
        <v>155</v>
      </c>
      <c r="DX15" s="18" t="s">
        <v>156</v>
      </c>
      <c r="DY15" s="18" t="s">
        <v>157</v>
      </c>
      <c r="DZ15" s="18" t="s">
        <v>158</v>
      </c>
      <c r="EA15" s="18" t="s">
        <v>159</v>
      </c>
      <c r="EB15" s="18" t="s">
        <v>160</v>
      </c>
      <c r="EC15" s="18" t="s">
        <v>161</v>
      </c>
      <c r="ED15" s="18" t="s">
        <v>162</v>
      </c>
      <c r="EE15" s="18" t="s">
        <v>163</v>
      </c>
      <c r="EF15" s="18" t="s">
        <v>164</v>
      </c>
      <c r="EG15" s="18" t="s">
        <v>165</v>
      </c>
      <c r="EH15" s="18" t="s">
        <v>166</v>
      </c>
      <c r="EI15" s="18" t="s">
        <v>170</v>
      </c>
      <c r="EJ15" s="18" t="s">
        <v>171</v>
      </c>
      <c r="EK15" s="18" t="s">
        <v>172</v>
      </c>
      <c r="EL15" s="18" t="s">
        <v>173</v>
      </c>
      <c r="EM15" s="18" t="s">
        <v>174</v>
      </c>
      <c r="EN15" s="18" t="s">
        <v>175</v>
      </c>
      <c r="EO15" s="18" t="s">
        <v>176</v>
      </c>
      <c r="EP15" s="18" t="s">
        <v>177</v>
      </c>
      <c r="EQ15" s="18" t="s">
        <v>178</v>
      </c>
      <c r="ER15" s="18" t="s">
        <v>179</v>
      </c>
      <c r="ES15" s="18" t="s">
        <v>180</v>
      </c>
      <c r="ET15" s="18" t="s">
        <v>226</v>
      </c>
      <c r="EU15" s="18" t="s">
        <v>223</v>
      </c>
      <c r="EV15" s="18" t="s">
        <v>181</v>
      </c>
      <c r="EW15" s="18" t="s">
        <v>319</v>
      </c>
      <c r="EX15" s="18" t="s">
        <v>320</v>
      </c>
      <c r="EY15" s="18" t="s">
        <v>240</v>
      </c>
      <c r="EZ15" s="18" t="s">
        <v>184</v>
      </c>
      <c r="FA15" s="18" t="s">
        <v>185</v>
      </c>
      <c r="FB15" s="18" t="s">
        <v>321</v>
      </c>
      <c r="FC15" s="18" t="s">
        <v>322</v>
      </c>
      <c r="FD15" s="18" t="s">
        <v>323</v>
      </c>
      <c r="FE15" s="18" t="s">
        <v>324</v>
      </c>
      <c r="FF15" s="18" t="s">
        <v>186</v>
      </c>
      <c r="FG15" s="18" t="s">
        <v>187</v>
      </c>
      <c r="FH15" s="18" t="s">
        <v>325</v>
      </c>
      <c r="FI15" s="18" t="s">
        <v>326</v>
      </c>
      <c r="FJ15" s="18" t="s">
        <v>327</v>
      </c>
      <c r="FK15" s="18" t="s">
        <v>328</v>
      </c>
      <c r="FL15" s="18" t="s">
        <v>329</v>
      </c>
      <c r="FM15" t="s">
        <v>423</v>
      </c>
    </row>
    <row r="16" spans="1:185" x14ac:dyDescent="0.15">
      <c r="A16" s="25" t="str">
        <f ca="1">FM16</f>
        <v>('KGJPN','CD2016032400020','KGJPN','1408000','CD2016032400020',0,1,'CDDR','DOMES',216000,' ','2016-03-31','2016-03-31','2016-04-02','2016-09-30','AAA','AAA','AAA',' ',null,0,'2016032400020',0,'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CD2016032400020</v>
      </c>
      <c r="D16" s="15" t="str">
        <f>$C$1</f>
        <v>KGJPN</v>
      </c>
      <c r="E16" s="15" t="str">
        <f>$C$2</f>
        <v>1408000</v>
      </c>
      <c r="F16" s="24" t="str">
        <f ca="1">$C$3</f>
        <v>CD2016032400020</v>
      </c>
      <c r="G16" s="21">
        <v>0</v>
      </c>
      <c r="H16" s="21">
        <v>1</v>
      </c>
      <c r="I16" s="20" t="s">
        <v>189</v>
      </c>
      <c r="J16" s="20" t="s">
        <v>350</v>
      </c>
      <c r="K16" s="23">
        <f>$C$4</f>
        <v>216000</v>
      </c>
      <c r="L16" s="20" t="s">
        <v>43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190</v>
      </c>
      <c r="R16" s="20" t="s">
        <v>190</v>
      </c>
      <c r="S16" s="20" t="s">
        <v>190</v>
      </c>
      <c r="T16" s="20" t="s">
        <v>43</v>
      </c>
      <c r="U16" s="21"/>
      <c r="V16" s="21">
        <v>0</v>
      </c>
      <c r="W16" s="38" t="str">
        <f ca="1">RIGHT($C3,13)</f>
        <v>2016032400020</v>
      </c>
      <c r="X16" s="21">
        <v>0</v>
      </c>
      <c r="Y16" s="20" t="s">
        <v>43</v>
      </c>
      <c r="Z16" s="21">
        <v>0</v>
      </c>
      <c r="AA16" s="20" t="s">
        <v>0</v>
      </c>
      <c r="AB16" s="20" t="s">
        <v>43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65</v>
      </c>
      <c r="AJ16" s="20" t="s">
        <v>192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65</v>
      </c>
      <c r="AT16" s="20" t="s">
        <v>43</v>
      </c>
      <c r="AU16" s="20" t="s">
        <v>195</v>
      </c>
      <c r="AV16" s="20" t="s">
        <v>196</v>
      </c>
      <c r="AW16" s="20" t="s">
        <v>43</v>
      </c>
      <c r="AX16" s="21"/>
      <c r="AY16" s="20" t="s">
        <v>43</v>
      </c>
      <c r="AZ16" s="20" t="s">
        <v>43</v>
      </c>
      <c r="BA16" s="20" t="s">
        <v>43</v>
      </c>
      <c r="BB16" s="20" t="s">
        <v>193</v>
      </c>
      <c r="BC16" s="20" t="s">
        <v>194</v>
      </c>
      <c r="BD16" s="21">
        <v>1</v>
      </c>
      <c r="BE16" s="21">
        <v>1</v>
      </c>
      <c r="BF16" s="21">
        <v>0</v>
      </c>
      <c r="BG16" s="20" t="s">
        <v>43</v>
      </c>
      <c r="BH16" s="23">
        <f>$C$4</f>
        <v>216000</v>
      </c>
      <c r="BI16" s="20" t="s">
        <v>193</v>
      </c>
      <c r="BJ16" s="21">
        <v>0</v>
      </c>
      <c r="BK16" s="20" t="s">
        <v>43</v>
      </c>
      <c r="BL16" s="21"/>
      <c r="BM16" s="15" t="str">
        <f>$C$1</f>
        <v>KGJPN</v>
      </c>
      <c r="BN16" s="20" t="s">
        <v>65</v>
      </c>
      <c r="BO16" s="20" t="s">
        <v>65</v>
      </c>
      <c r="BP16" s="20" t="s">
        <v>43</v>
      </c>
      <c r="BQ16" s="20" t="s">
        <v>196</v>
      </c>
      <c r="BR16" s="20" t="s">
        <v>65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197</v>
      </c>
      <c r="BX16" s="20" t="s">
        <v>43</v>
      </c>
      <c r="BY16" s="20" t="s">
        <v>197</v>
      </c>
      <c r="BZ16" s="20" t="s">
        <v>197</v>
      </c>
      <c r="CA16" s="20" t="s">
        <v>43</v>
      </c>
      <c r="CB16" s="20" t="s">
        <v>302</v>
      </c>
      <c r="CC16" s="20" t="s">
        <v>43</v>
      </c>
      <c r="CD16" s="20" t="s">
        <v>251</v>
      </c>
      <c r="CE16" s="20" t="s">
        <v>65</v>
      </c>
      <c r="CF16" s="20" t="s">
        <v>43</v>
      </c>
      <c r="CG16" s="20" t="s">
        <v>43</v>
      </c>
      <c r="CH16" s="20" t="s">
        <v>43</v>
      </c>
      <c r="CI16" s="20" t="s">
        <v>43</v>
      </c>
      <c r="CJ16" s="21">
        <v>0</v>
      </c>
      <c r="CK16" s="20" t="s">
        <v>43</v>
      </c>
      <c r="CL16" s="20" t="s">
        <v>43</v>
      </c>
      <c r="CM16" s="20" t="s">
        <v>43</v>
      </c>
      <c r="CN16" s="20" t="s">
        <v>198</v>
      </c>
      <c r="CO16" s="20" t="s">
        <v>43</v>
      </c>
      <c r="CP16" s="20" t="s">
        <v>43</v>
      </c>
      <c r="CQ16" s="20" t="s">
        <v>43</v>
      </c>
      <c r="CR16" s="20" t="s">
        <v>43</v>
      </c>
      <c r="CS16" s="20" t="s">
        <v>43</v>
      </c>
      <c r="CT16" s="20" t="s">
        <v>43</v>
      </c>
      <c r="CU16" s="21">
        <v>0</v>
      </c>
      <c r="CV16" s="15" t="str">
        <f>$C$1</f>
        <v>KGJPN</v>
      </c>
      <c r="CW16" s="20" t="s">
        <v>199</v>
      </c>
      <c r="CX16" s="20" t="s">
        <v>200</v>
      </c>
      <c r="CY16" s="20" t="s">
        <v>43</v>
      </c>
      <c r="CZ16" s="20" t="s">
        <v>43</v>
      </c>
      <c r="DA16" s="20" t="s">
        <v>43</v>
      </c>
      <c r="DB16" s="20" t="s">
        <v>43</v>
      </c>
      <c r="DC16" s="20" t="s">
        <v>43</v>
      </c>
      <c r="DD16" s="21">
        <v>0</v>
      </c>
      <c r="DE16" s="21">
        <v>0</v>
      </c>
      <c r="DF16" s="20" t="s">
        <v>43</v>
      </c>
      <c r="DG16" s="21">
        <v>0</v>
      </c>
      <c r="DH16" s="20" t="s">
        <v>43</v>
      </c>
      <c r="DI16" s="20" t="s">
        <v>43</v>
      </c>
      <c r="DJ16" s="22">
        <v>42460</v>
      </c>
      <c r="DK16" s="20" t="s">
        <v>43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43</v>
      </c>
      <c r="DZ16" s="15" t="str">
        <f>$C$7</f>
        <v>KJ0245</v>
      </c>
      <c r="EA16" s="20" t="s">
        <v>43</v>
      </c>
      <c r="EB16" s="20" t="s">
        <v>43</v>
      </c>
      <c r="EC16" s="20" t="s">
        <v>43</v>
      </c>
      <c r="ED16" s="20" t="s">
        <v>354</v>
      </c>
      <c r="EE16" s="20" t="s">
        <v>355</v>
      </c>
      <c r="EF16" s="20" t="s">
        <v>201</v>
      </c>
      <c r="EG16" s="20" t="s">
        <v>43</v>
      </c>
      <c r="EH16" s="20" t="s">
        <v>43</v>
      </c>
      <c r="EI16" s="20" t="s">
        <v>43</v>
      </c>
      <c r="EJ16" s="20" t="s">
        <v>43</v>
      </c>
      <c r="EK16" s="20" t="s">
        <v>43</v>
      </c>
      <c r="EL16" s="20" t="s">
        <v>43</v>
      </c>
      <c r="EM16" s="20" t="s">
        <v>43</v>
      </c>
      <c r="EN16" s="20" t="s">
        <v>0</v>
      </c>
      <c r="EO16" s="20" t="s">
        <v>43</v>
      </c>
      <c r="EP16" s="20" t="s">
        <v>43</v>
      </c>
      <c r="EQ16" s="20" t="s">
        <v>43</v>
      </c>
      <c r="ER16" s="20" t="s">
        <v>43</v>
      </c>
      <c r="ES16" s="20" t="s">
        <v>43</v>
      </c>
      <c r="ET16" s="20" t="s">
        <v>65</v>
      </c>
      <c r="EU16" s="20" t="s">
        <v>65</v>
      </c>
      <c r="EV16" s="20" t="s">
        <v>43</v>
      </c>
      <c r="EW16" s="21">
        <v>0</v>
      </c>
      <c r="EX16" s="20" t="s">
        <v>43</v>
      </c>
      <c r="EY16" s="23">
        <f>$C$5</f>
        <v>200000</v>
      </c>
      <c r="EZ16" s="20" t="s">
        <v>43</v>
      </c>
      <c r="FA16" s="20" t="s">
        <v>356</v>
      </c>
      <c r="FB16" s="21">
        <v>0</v>
      </c>
      <c r="FC16" s="21">
        <v>0</v>
      </c>
      <c r="FD16" s="20" t="s">
        <v>43</v>
      </c>
      <c r="FE16" s="21">
        <v>0</v>
      </c>
      <c r="FF16" s="20" t="s">
        <v>43</v>
      </c>
      <c r="FG16" s="20" t="s">
        <v>357</v>
      </c>
      <c r="FH16" s="20" t="s">
        <v>43</v>
      </c>
      <c r="FI16" s="20" t="s">
        <v>43</v>
      </c>
      <c r="FJ16" s="21">
        <v>0</v>
      </c>
      <c r="FK16" s="21">
        <v>0</v>
      </c>
      <c r="FL16" s="20" t="s">
        <v>43</v>
      </c>
      <c r="FM16" t="str">
        <f ca="1">FN16&amp;FO16&amp;FP16&amp;FQ16&amp;FR16&amp;FS16&amp;FT16&amp;FU16&amp;FV16&amp;FW16&amp;FX16&amp;FY16&amp;FZ16&amp;GA16&amp;GB16&amp;GC16</f>
        <v>('KGJPN','CD2016032400020','KGJPN','1408000','CD2016032400020',0,1,'CDDR','DOMES',216000,' ','2016-03-31','2016-03-31','2016-04-02','2016-09-30','AAA','AAA','AAA',' ',null,0,'2016032400020',0,'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('KGJPN','CD2016032400020','KGJPN','1408000','CD2016032400020',0,1,'CDDR','DOMES',216000,'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',null,0,'2016032400020',0,'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359</v>
      </c>
    </row>
    <row r="17" spans="1:165" hidden="1" x14ac:dyDescent="0.15">
      <c r="B17" s="3" t="s">
        <v>424</v>
      </c>
      <c r="E17" t="s">
        <v>425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206</v>
      </c>
      <c r="C18" s="18" t="s">
        <v>207</v>
      </c>
      <c r="D18" s="18" t="s">
        <v>35</v>
      </c>
      <c r="E18" s="18" t="s">
        <v>36</v>
      </c>
      <c r="F18" s="18" t="s">
        <v>46</v>
      </c>
      <c r="G18" s="18" t="s">
        <v>47</v>
      </c>
      <c r="H18" s="18" t="s">
        <v>208</v>
      </c>
      <c r="I18" s="18" t="s">
        <v>252</v>
      </c>
      <c r="J18" s="18" t="s">
        <v>253</v>
      </c>
      <c r="K18" s="18" t="s">
        <v>254</v>
      </c>
      <c r="L18" s="18" t="s">
        <v>255</v>
      </c>
      <c r="M18" s="18" t="s">
        <v>256</v>
      </c>
      <c r="N18" s="18" t="s">
        <v>257</v>
      </c>
      <c r="O18" s="18" t="s">
        <v>258</v>
      </c>
      <c r="P18" s="18" t="s">
        <v>259</v>
      </c>
      <c r="Q18" s="18" t="s">
        <v>260</v>
      </c>
      <c r="R18" s="18" t="s">
        <v>261</v>
      </c>
      <c r="S18" s="18" t="s">
        <v>262</v>
      </c>
      <c r="T18" s="18" t="s">
        <v>263</v>
      </c>
      <c r="U18" s="18" t="s">
        <v>264</v>
      </c>
      <c r="V18" s="18" t="s">
        <v>265</v>
      </c>
      <c r="W18" s="18" t="s">
        <v>266</v>
      </c>
      <c r="X18" s="18" t="s">
        <v>267</v>
      </c>
      <c r="Y18" s="18" t="s">
        <v>268</v>
      </c>
      <c r="Z18" s="18" t="s">
        <v>269</v>
      </c>
      <c r="AA18" s="18" t="s">
        <v>270</v>
      </c>
      <c r="AB18" s="18" t="s">
        <v>271</v>
      </c>
      <c r="AC18" s="18" t="s">
        <v>177</v>
      </c>
      <c r="AD18" s="18" t="s">
        <v>272</v>
      </c>
      <c r="AE18" s="18" t="s">
        <v>273</v>
      </c>
      <c r="AF18" s="18" t="s">
        <v>274</v>
      </c>
      <c r="AG18" s="18" t="s">
        <v>307</v>
      </c>
      <c r="AH18" s="18" t="s">
        <v>275</v>
      </c>
      <c r="AI18" s="18" t="s">
        <v>276</v>
      </c>
      <c r="AJ18" s="18" t="s">
        <v>283</v>
      </c>
      <c r="AK18" s="36" t="s">
        <v>68</v>
      </c>
      <c r="AL18" s="18" t="s">
        <v>281</v>
      </c>
      <c r="AM18" s="18" t="s">
        <v>282</v>
      </c>
      <c r="AN18" s="18" t="s">
        <v>60</v>
      </c>
      <c r="AO18" s="18" t="s">
        <v>61</v>
      </c>
      <c r="AP18" s="18" t="s">
        <v>62</v>
      </c>
      <c r="AQ18" s="18" t="s">
        <v>58</v>
      </c>
      <c r="AR18" s="18" t="s">
        <v>279</v>
      </c>
      <c r="AS18" s="18" t="s">
        <v>286</v>
      </c>
      <c r="AT18" s="18" t="s">
        <v>287</v>
      </c>
      <c r="AU18" s="36" t="s">
        <v>288</v>
      </c>
      <c r="AV18" s="18" t="s">
        <v>289</v>
      </c>
      <c r="AW18" s="18" t="s">
        <v>290</v>
      </c>
      <c r="AX18" s="18" t="s">
        <v>157</v>
      </c>
      <c r="AY18" s="18" t="s">
        <v>158</v>
      </c>
      <c r="AZ18" s="18" t="s">
        <v>159</v>
      </c>
      <c r="BA18" s="18" t="s">
        <v>160</v>
      </c>
      <c r="BB18" s="18" t="s">
        <v>161</v>
      </c>
      <c r="BC18" s="18" t="s">
        <v>232</v>
      </c>
      <c r="BD18" s="18" t="s">
        <v>233</v>
      </c>
      <c r="BE18" s="18" t="s">
        <v>234</v>
      </c>
      <c r="BF18" s="18" t="s">
        <v>235</v>
      </c>
      <c r="BG18" s="18" t="s">
        <v>52</v>
      </c>
      <c r="BH18" s="18" t="s">
        <v>308</v>
      </c>
      <c r="BI18" s="18" t="s">
        <v>309</v>
      </c>
      <c r="BJ18" s="18" t="s">
        <v>310</v>
      </c>
      <c r="BK18" t="s">
        <v>426</v>
      </c>
    </row>
    <row r="19" spans="1:165" x14ac:dyDescent="0.15">
      <c r="A19" s="25" t="str">
        <f ca="1">BK19</f>
        <v>('KGJPN','CD2016032400020','KGJPN','1408000','CD2016032400020',0,1,'RECORDING','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CD2016032400020</v>
      </c>
      <c r="D19" s="15" t="str">
        <f>$C$1</f>
        <v>KGJPN</v>
      </c>
      <c r="E19" s="15" t="str">
        <f>$C$2</f>
        <v>1408000</v>
      </c>
      <c r="F19" s="24" t="str">
        <f ca="1">$C$3</f>
        <v>CD2016032400020</v>
      </c>
      <c r="G19" s="21">
        <v>0</v>
      </c>
      <c r="H19" s="21">
        <v>1</v>
      </c>
      <c r="I19" s="20" t="s">
        <v>298</v>
      </c>
      <c r="J19" s="20" t="s">
        <v>43</v>
      </c>
      <c r="K19" s="21">
        <v>1</v>
      </c>
      <c r="L19" s="20" t="s">
        <v>0</v>
      </c>
      <c r="M19" s="15" t="str">
        <f>$C$1</f>
        <v>KGJPN</v>
      </c>
      <c r="N19" s="20" t="s">
        <v>299</v>
      </c>
      <c r="O19" s="20" t="s">
        <v>43</v>
      </c>
      <c r="P19" s="15" t="str">
        <f>$C$7</f>
        <v>KJ0245</v>
      </c>
      <c r="Q19" s="20" t="s">
        <v>43</v>
      </c>
      <c r="R19" s="20" t="s">
        <v>43</v>
      </c>
      <c r="S19" s="20" t="s">
        <v>43</v>
      </c>
      <c r="T19" s="20" t="s">
        <v>43</v>
      </c>
      <c r="U19" s="20" t="s">
        <v>43</v>
      </c>
      <c r="V19" s="20" t="s">
        <v>43</v>
      </c>
      <c r="W19" s="20" t="s">
        <v>43</v>
      </c>
      <c r="X19" s="20" t="s">
        <v>43</v>
      </c>
      <c r="Y19" s="20" t="s">
        <v>43</v>
      </c>
      <c r="Z19" s="15" t="str">
        <f>$C$2</f>
        <v>1408000</v>
      </c>
      <c r="AA19" s="20" t="s">
        <v>43</v>
      </c>
      <c r="AB19" s="20" t="s">
        <v>43</v>
      </c>
      <c r="AC19" s="20" t="s">
        <v>43</v>
      </c>
      <c r="AD19" s="20" t="s">
        <v>43</v>
      </c>
      <c r="AE19" s="23">
        <f>$C$4</f>
        <v>216000</v>
      </c>
      <c r="AF19" s="21">
        <v>0</v>
      </c>
      <c r="AG19" s="20" t="s">
        <v>188</v>
      </c>
      <c r="AH19" s="20" t="s">
        <v>43</v>
      </c>
      <c r="AI19" s="20" t="s">
        <v>43</v>
      </c>
      <c r="AJ19" s="20" t="s">
        <v>301</v>
      </c>
      <c r="AK19" s="22">
        <v>42460</v>
      </c>
      <c r="AL19" s="20" t="s">
        <v>193</v>
      </c>
      <c r="AM19" s="23">
        <f>$C$4</f>
        <v>216000</v>
      </c>
      <c r="AN19" s="20" t="s">
        <v>194</v>
      </c>
      <c r="AO19" s="21">
        <v>1</v>
      </c>
      <c r="AP19" s="21">
        <v>1</v>
      </c>
      <c r="AQ19" s="20" t="s">
        <v>193</v>
      </c>
      <c r="AR19" s="20" t="s">
        <v>65</v>
      </c>
      <c r="AS19" s="20" t="s">
        <v>43</v>
      </c>
      <c r="AT19" s="20" t="s">
        <v>43</v>
      </c>
      <c r="AU19" s="22">
        <v>42460</v>
      </c>
      <c r="AV19" s="20" t="s">
        <v>43</v>
      </c>
      <c r="AW19" s="20" t="s">
        <v>65</v>
      </c>
      <c r="AX19" s="20" t="s">
        <v>43</v>
      </c>
      <c r="AY19" s="20" t="s">
        <v>43</v>
      </c>
      <c r="AZ19" s="20" t="s">
        <v>43</v>
      </c>
      <c r="BA19" s="20" t="s">
        <v>43</v>
      </c>
      <c r="BB19" s="20" t="s">
        <v>43</v>
      </c>
      <c r="BC19" s="20" t="s">
        <v>43</v>
      </c>
      <c r="BD19" s="20" t="s">
        <v>43</v>
      </c>
      <c r="BE19" s="20" t="s">
        <v>43</v>
      </c>
      <c r="BF19" s="20" t="s">
        <v>43</v>
      </c>
      <c r="BG19" s="20" t="s">
        <v>43</v>
      </c>
      <c r="BH19" s="20" t="s">
        <v>43</v>
      </c>
      <c r="BI19" s="20" t="s">
        <v>43</v>
      </c>
      <c r="BJ19" s="20" t="s">
        <v>43</v>
      </c>
      <c r="BK19" t="str">
        <f ca="1">BL19&amp;BM19&amp;BN19&amp;BO19&amp;BP19&amp;BQ19&amp;BR19&amp;BS19&amp;BT19&amp;BU19&amp;BV19&amp;BW19&amp;BX19&amp;BY19&amp;BZ19&amp;CA19</f>
        <v>('KGJPN','CD2016032400020','KGJPN','1408000','CD2016032400020',0,1,'RECORDING','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('KGJPN','CD2016032400020','KGJPN','1408000','CD2016032400020',0,1,'RECORDING','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44</v>
      </c>
    </row>
    <row r="20" spans="1:165" x14ac:dyDescent="0.15">
      <c r="A20" s="25" t="str">
        <f ca="1">BK20</f>
        <v>('KGJPN','CD2016032400020','KGJPN','1408000','CD2016032400020',0,1,'RECORDING','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CD2016032400020</v>
      </c>
      <c r="D20" s="15" t="str">
        <f>$C$1</f>
        <v>KGJPN</v>
      </c>
      <c r="E20" s="15" t="str">
        <f>$C$2</f>
        <v>1408000</v>
      </c>
      <c r="F20" s="24" t="str">
        <f ca="1">$C$3</f>
        <v>CD2016032400020</v>
      </c>
      <c r="G20" s="21">
        <v>0</v>
      </c>
      <c r="H20" s="21">
        <v>1</v>
      </c>
      <c r="I20" s="20" t="s">
        <v>298</v>
      </c>
      <c r="J20" s="20" t="s">
        <v>43</v>
      </c>
      <c r="K20" s="21">
        <v>2</v>
      </c>
      <c r="L20" s="20" t="s">
        <v>0</v>
      </c>
      <c r="M20" s="15" t="str">
        <f>$C$1</f>
        <v>KGJPN</v>
      </c>
      <c r="N20" s="20" t="s">
        <v>351</v>
      </c>
      <c r="O20" s="20" t="s">
        <v>43</v>
      </c>
      <c r="P20" s="15" t="str">
        <f>$C$7</f>
        <v>KJ0245</v>
      </c>
      <c r="Q20" s="20" t="s">
        <v>43</v>
      </c>
      <c r="R20" s="20" t="s">
        <v>43</v>
      </c>
      <c r="S20" s="20" t="s">
        <v>43</v>
      </c>
      <c r="T20" s="20" t="s">
        <v>43</v>
      </c>
      <c r="U20" s="20" t="s">
        <v>43</v>
      </c>
      <c r="V20" s="20" t="s">
        <v>43</v>
      </c>
      <c r="W20" s="20" t="s">
        <v>43</v>
      </c>
      <c r="X20" s="20" t="s">
        <v>43</v>
      </c>
      <c r="Y20" s="20" t="s">
        <v>43</v>
      </c>
      <c r="Z20" s="15" t="str">
        <f>$C$2</f>
        <v>1408000</v>
      </c>
      <c r="AA20" s="20" t="s">
        <v>43</v>
      </c>
      <c r="AB20" s="20" t="s">
        <v>43</v>
      </c>
      <c r="AC20" s="20" t="s">
        <v>43</v>
      </c>
      <c r="AD20" s="20" t="s">
        <v>43</v>
      </c>
      <c r="AE20" s="23">
        <f>-1*$C$5</f>
        <v>-200000</v>
      </c>
      <c r="AF20" s="21">
        <v>0</v>
      </c>
      <c r="AG20" s="20" t="s">
        <v>188</v>
      </c>
      <c r="AH20" s="20" t="s">
        <v>43</v>
      </c>
      <c r="AI20" s="20" t="s">
        <v>43</v>
      </c>
      <c r="AJ20" s="20" t="s">
        <v>302</v>
      </c>
      <c r="AK20" s="22">
        <v>42460</v>
      </c>
      <c r="AL20" s="20" t="s">
        <v>193</v>
      </c>
      <c r="AM20" s="23">
        <f>-1*$C$5</f>
        <v>-200000</v>
      </c>
      <c r="AN20" s="20" t="s">
        <v>194</v>
      </c>
      <c r="AO20" s="21">
        <v>1</v>
      </c>
      <c r="AP20" s="21">
        <v>1</v>
      </c>
      <c r="AQ20" s="20" t="s">
        <v>193</v>
      </c>
      <c r="AR20" s="20" t="s">
        <v>65</v>
      </c>
      <c r="AS20" s="20" t="s">
        <v>43</v>
      </c>
      <c r="AT20" s="20" t="s">
        <v>43</v>
      </c>
      <c r="AU20" s="22">
        <v>42460</v>
      </c>
      <c r="AV20" s="20" t="s">
        <v>43</v>
      </c>
      <c r="AW20" s="20" t="s">
        <v>65</v>
      </c>
      <c r="AX20" s="20" t="s">
        <v>43</v>
      </c>
      <c r="AY20" s="20" t="s">
        <v>43</v>
      </c>
      <c r="AZ20" s="20" t="s">
        <v>43</v>
      </c>
      <c r="BA20" s="20" t="s">
        <v>43</v>
      </c>
      <c r="BB20" s="20" t="s">
        <v>43</v>
      </c>
      <c r="BC20" s="20" t="s">
        <v>43</v>
      </c>
      <c r="BD20" s="20" t="s">
        <v>43</v>
      </c>
      <c r="BE20" s="20" t="s">
        <v>43</v>
      </c>
      <c r="BF20" s="20" t="s">
        <v>43</v>
      </c>
      <c r="BG20" s="20" t="s">
        <v>43</v>
      </c>
      <c r="BH20" s="20" t="s">
        <v>43</v>
      </c>
      <c r="BI20" s="20" t="s">
        <v>43</v>
      </c>
      <c r="BJ20" s="20" t="s">
        <v>43</v>
      </c>
      <c r="BK20" t="str">
        <f ca="1">BL20&amp;BM20&amp;BN20&amp;BO20&amp;BP20&amp;BQ20&amp;BR20&amp;BS20&amp;BT20&amp;BU20&amp;BV20&amp;BW20&amp;BX20&amp;BY20&amp;BZ20&amp;CA20</f>
        <v>('KGJPN','CD2016032400020','KGJPN','1408000','CD2016032400020',0,1,'RECORDING','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('KGJPN','CD2016032400020','KGJPN','1408000','CD2016032400020',0,1,'RECORDING','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44</v>
      </c>
    </row>
    <row r="21" spans="1:165" x14ac:dyDescent="0.15">
      <c r="A21" s="25" t="str">
        <f ca="1">BK21</f>
        <v>('KGJPN','CD2016032400020','KGJPN','1408000','CD2016032400020',0,1,'RECORDING','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CD2016032400020</v>
      </c>
      <c r="D21" s="15" t="str">
        <f>$C$1</f>
        <v>KGJPN</v>
      </c>
      <c r="E21" s="15" t="str">
        <f>$C$2</f>
        <v>1408000</v>
      </c>
      <c r="F21" s="24" t="str">
        <f ca="1">$C$3</f>
        <v>CD2016032400020</v>
      </c>
      <c r="G21" s="21">
        <v>0</v>
      </c>
      <c r="H21" s="21">
        <v>1</v>
      </c>
      <c r="I21" s="20" t="s">
        <v>298</v>
      </c>
      <c r="J21" s="20" t="s">
        <v>43</v>
      </c>
      <c r="K21" s="21">
        <v>3</v>
      </c>
      <c r="L21" s="20" t="s">
        <v>0</v>
      </c>
      <c r="M21" s="15" t="str">
        <f>$C$1</f>
        <v>KGJPN</v>
      </c>
      <c r="N21" s="20" t="s">
        <v>303</v>
      </c>
      <c r="O21" s="20" t="s">
        <v>43</v>
      </c>
      <c r="P21" s="15" t="str">
        <f>$C$7</f>
        <v>KJ0245</v>
      </c>
      <c r="Q21" s="20" t="s">
        <v>43</v>
      </c>
      <c r="R21" s="20" t="s">
        <v>43</v>
      </c>
      <c r="S21" s="20" t="s">
        <v>43</v>
      </c>
      <c r="T21" s="20" t="s">
        <v>43</v>
      </c>
      <c r="U21" s="20" t="s">
        <v>43</v>
      </c>
      <c r="V21" s="20" t="s">
        <v>43</v>
      </c>
      <c r="W21" s="20" t="s">
        <v>43</v>
      </c>
      <c r="X21" s="20" t="s">
        <v>43</v>
      </c>
      <c r="Y21" s="20" t="s">
        <v>43</v>
      </c>
      <c r="Z21" s="15" t="str">
        <f>$C$2</f>
        <v>1408000</v>
      </c>
      <c r="AA21" s="20" t="s">
        <v>43</v>
      </c>
      <c r="AB21" s="20" t="s">
        <v>43</v>
      </c>
      <c r="AC21" s="20" t="s">
        <v>43</v>
      </c>
      <c r="AD21" s="20" t="s">
        <v>43</v>
      </c>
      <c r="AE21" s="23">
        <f>-1*$C$6</f>
        <v>-16000</v>
      </c>
      <c r="AF21" s="21">
        <v>0</v>
      </c>
      <c r="AG21" s="20" t="s">
        <v>188</v>
      </c>
      <c r="AH21" s="20" t="s">
        <v>43</v>
      </c>
      <c r="AI21" s="20" t="s">
        <v>43</v>
      </c>
      <c r="AJ21" s="20" t="s">
        <v>304</v>
      </c>
      <c r="AK21" s="22">
        <v>42460</v>
      </c>
      <c r="AL21" s="20" t="s">
        <v>193</v>
      </c>
      <c r="AM21" s="23">
        <f>-1*$C$6</f>
        <v>-16000</v>
      </c>
      <c r="AN21" s="20" t="s">
        <v>194</v>
      </c>
      <c r="AO21" s="21">
        <v>1</v>
      </c>
      <c r="AP21" s="21">
        <v>1</v>
      </c>
      <c r="AQ21" s="20" t="s">
        <v>193</v>
      </c>
      <c r="AR21" s="20" t="s">
        <v>65</v>
      </c>
      <c r="AS21" s="20" t="s">
        <v>43</v>
      </c>
      <c r="AT21" s="20" t="s">
        <v>43</v>
      </c>
      <c r="AU21" s="22">
        <v>42460</v>
      </c>
      <c r="AV21" s="20" t="s">
        <v>43</v>
      </c>
      <c r="AW21" s="20" t="s">
        <v>65</v>
      </c>
      <c r="AX21" s="20" t="s">
        <v>43</v>
      </c>
      <c r="AY21" s="20" t="s">
        <v>43</v>
      </c>
      <c r="AZ21" s="20" t="s">
        <v>43</v>
      </c>
      <c r="BA21" s="20" t="s">
        <v>43</v>
      </c>
      <c r="BB21" s="20" t="s">
        <v>43</v>
      </c>
      <c r="BC21" s="20" t="s">
        <v>248</v>
      </c>
      <c r="BD21" s="20" t="s">
        <v>249</v>
      </c>
      <c r="BE21" s="20" t="s">
        <v>250</v>
      </c>
      <c r="BF21" s="20" t="s">
        <v>251</v>
      </c>
      <c r="BG21" s="20" t="s">
        <v>43</v>
      </c>
      <c r="BH21" s="20" t="s">
        <v>43</v>
      </c>
      <c r="BI21" s="20" t="s">
        <v>43</v>
      </c>
      <c r="BJ21" s="20" t="s">
        <v>43</v>
      </c>
      <c r="BK21" t="str">
        <f ca="1">BL21&amp;BM21&amp;BN21&amp;BO21&amp;BP21&amp;BQ21&amp;BR21&amp;BS21&amp;BT21&amp;BU21&amp;BV21&amp;BW21&amp;BX21&amp;BY21&amp;BZ21&amp;CA21</f>
        <v>('KGJPN','CD2016032400020','KGJPN','1408000','CD2016032400020',0,1,'RECORDING','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('KGJPN','CD2016032400020','KGJPN','1408000','CD2016032400020',0,1,'RECORDING','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359</v>
      </c>
    </row>
    <row r="22" spans="1:165" hidden="1" x14ac:dyDescent="0.15">
      <c r="B22" s="3" t="s">
        <v>427</v>
      </c>
      <c r="E22" t="s">
        <v>428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206</v>
      </c>
      <c r="C23" s="18" t="s">
        <v>207</v>
      </c>
      <c r="D23" s="18" t="s">
        <v>35</v>
      </c>
      <c r="E23" s="18" t="s">
        <v>36</v>
      </c>
      <c r="F23" s="18" t="s">
        <v>46</v>
      </c>
      <c r="G23" s="18" t="s">
        <v>47</v>
      </c>
      <c r="H23" s="18" t="s">
        <v>208</v>
      </c>
      <c r="I23" s="18" t="s">
        <v>232</v>
      </c>
      <c r="J23" s="18" t="s">
        <v>233</v>
      </c>
      <c r="K23" s="18" t="s">
        <v>234</v>
      </c>
      <c r="L23" s="18" t="s">
        <v>235</v>
      </c>
      <c r="M23" s="18" t="s">
        <v>236</v>
      </c>
      <c r="N23" s="36" t="s">
        <v>237</v>
      </c>
      <c r="O23" s="18" t="s">
        <v>238</v>
      </c>
      <c r="P23" s="18" t="s">
        <v>240</v>
      </c>
      <c r="Q23" s="18" t="s">
        <v>241</v>
      </c>
      <c r="R23" s="18" t="s">
        <v>242</v>
      </c>
      <c r="S23" s="18" t="s">
        <v>244</v>
      </c>
      <c r="T23" s="18" t="s">
        <v>246</v>
      </c>
      <c r="U23" s="18" t="s">
        <v>209</v>
      </c>
      <c r="V23" s="18" t="s">
        <v>243</v>
      </c>
      <c r="W23" s="18" t="s">
        <v>239</v>
      </c>
      <c r="X23" s="18" t="s">
        <v>245</v>
      </c>
      <c r="Y23" t="s">
        <v>429</v>
      </c>
    </row>
    <row r="24" spans="1:165" x14ac:dyDescent="0.15">
      <c r="A24" s="25" t="str">
        <f ca="1">Y24</f>
        <v>('KGJPN','CD2016032400020','KGJPN','1408000','CD2016032400020',0,1,'T','SK','KGT08','VO',8,'2016-03-31',200000,200000,200000,16000,0,'N','JPY',16000,200000,0);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CD2016032400020</v>
      </c>
      <c r="D24" s="15" t="str">
        <f>$C$1</f>
        <v>KGJPN</v>
      </c>
      <c r="E24" s="15" t="str">
        <f>$C$2</f>
        <v>1408000</v>
      </c>
      <c r="F24" s="24" t="str">
        <f ca="1">$C$3</f>
        <v>CD2016032400020</v>
      </c>
      <c r="G24" s="21">
        <v>0</v>
      </c>
      <c r="H24" s="21">
        <v>1</v>
      </c>
      <c r="I24" s="20" t="s">
        <v>248</v>
      </c>
      <c r="J24" s="20" t="s">
        <v>249</v>
      </c>
      <c r="K24" s="20" t="s">
        <v>250</v>
      </c>
      <c r="L24" s="20" t="s">
        <v>251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65</v>
      </c>
      <c r="U24" s="20" t="s">
        <v>193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('KGJPN','CD2016032400020','KGJPN','1408000','CD2016032400020',0,1,'T','SK','KGT08','VO',8,'2016-03-31',200000,200000,200000,16000,0,'N','JPY',16000,200000,0);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('KGJPN','CD2016032400020','KGJPN','1408000','CD2016032400020',0,1,'T','SK','KGT08','VO',8,'2016-03-31',200000,200000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359</v>
      </c>
    </row>
    <row r="25" spans="1:165" hidden="1" x14ac:dyDescent="0.15">
      <c r="B25" s="3" t="s">
        <v>430</v>
      </c>
      <c r="E25" t="s">
        <v>431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35</v>
      </c>
      <c r="C26" s="18" t="s">
        <v>36</v>
      </c>
      <c r="D26" s="18" t="s">
        <v>46</v>
      </c>
      <c r="E26" s="18" t="s">
        <v>47</v>
      </c>
      <c r="F26" s="18" t="s">
        <v>105</v>
      </c>
      <c r="G26" s="18" t="s">
        <v>49</v>
      </c>
      <c r="H26" s="18" t="s">
        <v>50</v>
      </c>
      <c r="I26" s="18" t="s">
        <v>202</v>
      </c>
      <c r="J26" s="18" t="s">
        <v>52</v>
      </c>
      <c r="K26" s="36" t="s">
        <v>68</v>
      </c>
      <c r="L26" s="18" t="s">
        <v>70</v>
      </c>
      <c r="M26" s="36" t="s">
        <v>69</v>
      </c>
      <c r="N26" s="18" t="s">
        <v>48</v>
      </c>
      <c r="O26" s="18" t="s">
        <v>79</v>
      </c>
      <c r="P26" s="18" t="s">
        <v>203</v>
      </c>
      <c r="Q26" s="18" t="s">
        <v>204</v>
      </c>
      <c r="R26" s="18" t="s">
        <v>205</v>
      </c>
      <c r="S26" s="18" t="s">
        <v>33</v>
      </c>
      <c r="T26" s="18" t="s">
        <v>34</v>
      </c>
      <c r="U26" s="18" t="s">
        <v>206</v>
      </c>
      <c r="V26" s="18" t="s">
        <v>207</v>
      </c>
      <c r="W26" s="18" t="s">
        <v>208</v>
      </c>
      <c r="X26" s="18" t="s">
        <v>90</v>
      </c>
      <c r="Y26" s="18" t="s">
        <v>37</v>
      </c>
      <c r="Z26" s="18" t="s">
        <v>38</v>
      </c>
      <c r="AA26" s="18" t="s">
        <v>107</v>
      </c>
      <c r="AB26" s="18" t="s">
        <v>209</v>
      </c>
      <c r="AC26" s="18" t="s">
        <v>60</v>
      </c>
      <c r="AD26" s="18" t="s">
        <v>61</v>
      </c>
      <c r="AE26" s="18" t="s">
        <v>62</v>
      </c>
      <c r="AF26" s="18" t="s">
        <v>210</v>
      </c>
      <c r="AG26" s="18" t="s">
        <v>211</v>
      </c>
      <c r="AH26" s="18" t="s">
        <v>212</v>
      </c>
      <c r="AI26" s="18" t="s">
        <v>213</v>
      </c>
      <c r="AJ26" s="18" t="s">
        <v>214</v>
      </c>
      <c r="AK26" s="18" t="s">
        <v>215</v>
      </c>
      <c r="AL26" s="18" t="s">
        <v>58</v>
      </c>
      <c r="AM26" s="18" t="s">
        <v>56</v>
      </c>
      <c r="AN26" s="18" t="s">
        <v>51</v>
      </c>
      <c r="AO26" s="18" t="s">
        <v>216</v>
      </c>
      <c r="AP26" s="18" t="s">
        <v>217</v>
      </c>
      <c r="AQ26" s="18" t="s">
        <v>218</v>
      </c>
      <c r="AR26" s="18" t="s">
        <v>219</v>
      </c>
      <c r="AS26" s="18" t="s">
        <v>220</v>
      </c>
      <c r="AT26" s="18" t="s">
        <v>131</v>
      </c>
      <c r="AU26" s="18" t="s">
        <v>132</v>
      </c>
      <c r="AV26" s="18" t="s">
        <v>72</v>
      </c>
      <c r="AW26" s="18" t="s">
        <v>73</v>
      </c>
      <c r="AX26" s="18" t="s">
        <v>74</v>
      </c>
      <c r="AY26" s="18" t="s">
        <v>45</v>
      </c>
      <c r="AZ26" s="18" t="s">
        <v>78</v>
      </c>
      <c r="BA26" s="18" t="s">
        <v>106</v>
      </c>
      <c r="BB26" s="18" t="s">
        <v>123</v>
      </c>
      <c r="BC26" s="18" t="s">
        <v>124</v>
      </c>
      <c r="BD26" s="18" t="s">
        <v>125</v>
      </c>
      <c r="BE26" s="18" t="s">
        <v>126</v>
      </c>
      <c r="BF26" s="18" t="s">
        <v>139</v>
      </c>
      <c r="BG26" s="18" t="s">
        <v>140</v>
      </c>
      <c r="BH26" s="18" t="s">
        <v>141</v>
      </c>
      <c r="BI26" s="18" t="s">
        <v>142</v>
      </c>
      <c r="BJ26" s="18" t="s">
        <v>143</v>
      </c>
      <c r="BK26" s="18" t="s">
        <v>221</v>
      </c>
      <c r="BL26" s="18" t="s">
        <v>222</v>
      </c>
      <c r="BM26" s="18" t="s">
        <v>63</v>
      </c>
      <c r="BN26" s="18" t="s">
        <v>54</v>
      </c>
      <c r="BO26" s="18" t="s">
        <v>55</v>
      </c>
      <c r="BP26" s="18" t="s">
        <v>147</v>
      </c>
      <c r="BQ26" s="18" t="s">
        <v>148</v>
      </c>
      <c r="BR26" s="18" t="s">
        <v>149</v>
      </c>
      <c r="BS26" s="18" t="s">
        <v>150</v>
      </c>
      <c r="BT26" s="18" t="s">
        <v>151</v>
      </c>
      <c r="BU26" s="18" t="s">
        <v>152</v>
      </c>
      <c r="BV26" s="36" t="s">
        <v>153</v>
      </c>
      <c r="BW26" s="18" t="s">
        <v>154</v>
      </c>
      <c r="BX26" s="18" t="s">
        <v>155</v>
      </c>
      <c r="BY26" s="18" t="s">
        <v>156</v>
      </c>
      <c r="BZ26" s="18" t="s">
        <v>157</v>
      </c>
      <c r="CA26" s="18" t="s">
        <v>158</v>
      </c>
      <c r="CB26" s="18" t="s">
        <v>159</v>
      </c>
      <c r="CC26" s="18" t="s">
        <v>160</v>
      </c>
      <c r="CD26" s="18" t="s">
        <v>161</v>
      </c>
      <c r="CE26" s="18" t="s">
        <v>162</v>
      </c>
      <c r="CF26" s="18" t="s">
        <v>163</v>
      </c>
      <c r="CG26" s="18" t="s">
        <v>164</v>
      </c>
      <c r="CH26" s="18" t="s">
        <v>165</v>
      </c>
      <c r="CI26" s="18" t="s">
        <v>166</v>
      </c>
      <c r="CJ26" s="18" t="s">
        <v>169</v>
      </c>
      <c r="CK26" s="18" t="s">
        <v>223</v>
      </c>
      <c r="CL26" s="18" t="s">
        <v>224</v>
      </c>
      <c r="CM26" s="18" t="s">
        <v>225</v>
      </c>
      <c r="CN26" s="18" t="s">
        <v>226</v>
      </c>
      <c r="CO26" s="18" t="s">
        <v>227</v>
      </c>
      <c r="CP26" t="s">
        <v>432</v>
      </c>
    </row>
    <row r="27" spans="1:165" x14ac:dyDescent="0.15">
      <c r="A27" s="25" t="str">
        <f ca="1">CP27</f>
        <v>('KGJPN','1408000','CD2016032400020',0,1,'CDDR','DOMES',216000,' ','2016-03-31','2016-04-01','2016-03-31',' ',0,' ',' ',0,' ',' ','KGJPN','CD2016032400020',1,'N',' ',' ','Y','JPY','APTTM',1,1,0,' ',' ',0,1,216000,'JPY',0,'IT-01','PSCD1',' ','B',' ','N',' ',' ','AAA','AAA','AAA','2016032400020',0,'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CD2016032400020</v>
      </c>
      <c r="E27" s="21">
        <v>0</v>
      </c>
      <c r="F27" s="21">
        <v>1</v>
      </c>
      <c r="G27" s="20" t="s">
        <v>189</v>
      </c>
      <c r="H27" s="20" t="s">
        <v>350</v>
      </c>
      <c r="I27" s="23">
        <f>$C$4</f>
        <v>216000</v>
      </c>
      <c r="J27" s="20" t="s">
        <v>43</v>
      </c>
      <c r="K27" s="22">
        <v>42460</v>
      </c>
      <c r="L27" s="22">
        <v>42461</v>
      </c>
      <c r="M27" s="22">
        <v>42460</v>
      </c>
      <c r="N27" s="20" t="s">
        <v>43</v>
      </c>
      <c r="O27" s="21">
        <v>0</v>
      </c>
      <c r="P27" s="20" t="s">
        <v>43</v>
      </c>
      <c r="Q27" s="20" t="s">
        <v>43</v>
      </c>
      <c r="R27" s="21">
        <v>0</v>
      </c>
      <c r="S27" s="20" t="s">
        <v>43</v>
      </c>
      <c r="T27" s="20" t="s">
        <v>43</v>
      </c>
      <c r="U27" s="20" t="str">
        <f>$C$1</f>
        <v>KGJPN</v>
      </c>
      <c r="V27" s="24" t="str">
        <f ca="1">$C$3</f>
        <v>CD2016032400020</v>
      </c>
      <c r="W27" s="21">
        <v>1</v>
      </c>
      <c r="X27" s="20" t="s">
        <v>65</v>
      </c>
      <c r="Y27" s="20" t="s">
        <v>43</v>
      </c>
      <c r="Z27" s="20" t="s">
        <v>43</v>
      </c>
      <c r="AA27" s="20" t="s">
        <v>0</v>
      </c>
      <c r="AB27" s="20" t="s">
        <v>193</v>
      </c>
      <c r="AC27" s="20" t="s">
        <v>194</v>
      </c>
      <c r="AD27" s="21">
        <v>1</v>
      </c>
      <c r="AE27" s="21">
        <v>1</v>
      </c>
      <c r="AF27" s="21">
        <v>0</v>
      </c>
      <c r="AG27" s="20" t="s">
        <v>43</v>
      </c>
      <c r="AH27" s="20" t="s">
        <v>43</v>
      </c>
      <c r="AI27" s="21">
        <v>0</v>
      </c>
      <c r="AJ27" s="21">
        <v>1</v>
      </c>
      <c r="AK27" s="23">
        <f>$C$4</f>
        <v>216000</v>
      </c>
      <c r="AL27" s="20" t="s">
        <v>193</v>
      </c>
      <c r="AM27" s="21">
        <v>0</v>
      </c>
      <c r="AN27" s="20" t="s">
        <v>195</v>
      </c>
      <c r="AO27" s="20" t="s">
        <v>229</v>
      </c>
      <c r="AP27" s="20" t="s">
        <v>43</v>
      </c>
      <c r="AQ27" s="20" t="s">
        <v>230</v>
      </c>
      <c r="AR27" s="20" t="s">
        <v>43</v>
      </c>
      <c r="AS27" s="20" t="s">
        <v>65</v>
      </c>
      <c r="AT27" s="20" t="s">
        <v>43</v>
      </c>
      <c r="AU27" s="20" t="s">
        <v>43</v>
      </c>
      <c r="AV27" s="20" t="s">
        <v>190</v>
      </c>
      <c r="AW27" s="20" t="s">
        <v>190</v>
      </c>
      <c r="AX27" s="20" t="s">
        <v>190</v>
      </c>
      <c r="AY27" s="39" t="str">
        <f ca="1">RIGHT($C3,13)</f>
        <v>2016032400020</v>
      </c>
      <c r="AZ27" s="21">
        <v>0</v>
      </c>
      <c r="BA27" s="20" t="s">
        <v>43</v>
      </c>
      <c r="BB27" s="20" t="s">
        <v>43</v>
      </c>
      <c r="BC27" s="20" t="s">
        <v>43</v>
      </c>
      <c r="BD27" s="20" t="s">
        <v>43</v>
      </c>
      <c r="BE27" s="20" t="s">
        <v>43</v>
      </c>
      <c r="BF27" s="20" t="str">
        <f>$C$1</f>
        <v>KGJPN</v>
      </c>
      <c r="BG27" s="20" t="s">
        <v>199</v>
      </c>
      <c r="BH27" s="20" t="s">
        <v>200</v>
      </c>
      <c r="BI27" s="20" t="s">
        <v>43</v>
      </c>
      <c r="BJ27" s="20" t="s">
        <v>43</v>
      </c>
      <c r="BK27" s="21">
        <v>11309435</v>
      </c>
      <c r="BL27" s="20" t="s">
        <v>43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43</v>
      </c>
      <c r="CA27" s="15" t="str">
        <f>$C$7</f>
        <v>KJ0245</v>
      </c>
      <c r="CB27" s="20" t="s">
        <v>43</v>
      </c>
      <c r="CC27" s="20" t="s">
        <v>43</v>
      </c>
      <c r="CD27" s="20" t="s">
        <v>43</v>
      </c>
      <c r="CE27" s="20" t="s">
        <v>354</v>
      </c>
      <c r="CF27" s="20" t="s">
        <v>355</v>
      </c>
      <c r="CG27" s="20" t="s">
        <v>201</v>
      </c>
      <c r="CH27" s="20" t="s">
        <v>43</v>
      </c>
      <c r="CI27" s="20" t="s">
        <v>43</v>
      </c>
      <c r="CJ27" s="21">
        <v>0</v>
      </c>
      <c r="CK27" s="20" t="s">
        <v>65</v>
      </c>
      <c r="CL27" s="20" t="s">
        <v>43</v>
      </c>
      <c r="CM27" s="20" t="s">
        <v>65</v>
      </c>
      <c r="CN27" s="20" t="s">
        <v>65</v>
      </c>
      <c r="CO27" s="20" t="s">
        <v>43</v>
      </c>
      <c r="CP27" t="str">
        <f ca="1">CQ27&amp;CR27&amp;CS27&amp;CT27&amp;CU27&amp;CV27&amp;CW27&amp;CX27&amp;CY27&amp;CZ27&amp;DA27&amp;DB27&amp;DC27&amp;DD27&amp;DE27&amp;DF27</f>
        <v>('KGJPN','1408000','CD2016032400020',0,1,'CDDR','DOMES',216000,' ','2016-03-31','2016-04-01','2016-03-31',' ',0,' ',' ',0,' ',' ','KGJPN','CD2016032400020',1,'N',' ',' ','Y','JPY','APTTM',1,1,0,' ',' ',0,1,216000,'JPY',0,'IT-01','PSCD1',' ','B',' ','N',' ',' ','AAA','AAA','AAA','2016032400020',0,'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('KGJPN','1408000','CD2016032400020',0,1,'CDDR','DOMES',216000,'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','KGJPN','CD2016032400020',1,'N','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,'AAA','AAA','2016032400020',0,'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359</v>
      </c>
    </row>
    <row r="28" spans="1:165" hidden="1" x14ac:dyDescent="0.15">
      <c r="B28" s="3" t="s">
        <v>433</v>
      </c>
      <c r="E28" t="s">
        <v>434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35</v>
      </c>
      <c r="C29" s="18" t="s">
        <v>36</v>
      </c>
      <c r="D29" s="18" t="s">
        <v>46</v>
      </c>
      <c r="E29" s="18" t="s">
        <v>47</v>
      </c>
      <c r="F29" s="18" t="s">
        <v>66</v>
      </c>
      <c r="G29" s="18" t="s">
        <v>49</v>
      </c>
      <c r="H29" s="18" t="s">
        <v>50</v>
      </c>
      <c r="I29" s="18" t="s">
        <v>52</v>
      </c>
      <c r="J29" s="18" t="s">
        <v>67</v>
      </c>
      <c r="K29" s="18" t="s">
        <v>435</v>
      </c>
      <c r="L29" s="36" t="s">
        <v>68</v>
      </c>
      <c r="M29" s="36" t="s">
        <v>69</v>
      </c>
      <c r="N29" s="18" t="s">
        <v>70</v>
      </c>
      <c r="O29" s="18" t="s">
        <v>436</v>
      </c>
      <c r="P29" s="18" t="s">
        <v>72</v>
      </c>
      <c r="Q29" s="18" t="s">
        <v>73</v>
      </c>
      <c r="R29" s="18" t="s">
        <v>74</v>
      </c>
      <c r="S29" s="18" t="s">
        <v>75</v>
      </c>
      <c r="T29" s="18" t="s">
        <v>76</v>
      </c>
      <c r="U29" s="18" t="s">
        <v>77</v>
      </c>
      <c r="V29" s="18" t="s">
        <v>45</v>
      </c>
      <c r="W29" s="18" t="s">
        <v>78</v>
      </c>
      <c r="X29" s="18" t="s">
        <v>48</v>
      </c>
      <c r="Y29" s="18" t="s">
        <v>79</v>
      </c>
      <c r="Z29" s="18" t="s">
        <v>80</v>
      </c>
      <c r="AA29" s="18" t="s">
        <v>81</v>
      </c>
      <c r="AB29" s="18" t="s">
        <v>82</v>
      </c>
      <c r="AC29" s="18" t="s">
        <v>83</v>
      </c>
      <c r="AD29" s="18" t="s">
        <v>84</v>
      </c>
      <c r="AE29" s="18" t="s">
        <v>85</v>
      </c>
      <c r="AF29" s="18" t="s">
        <v>86</v>
      </c>
      <c r="AG29" s="18" t="s">
        <v>87</v>
      </c>
      <c r="AH29" s="18" t="s">
        <v>88</v>
      </c>
      <c r="AI29" s="18" t="s">
        <v>89</v>
      </c>
      <c r="AJ29" s="18" t="s">
        <v>53</v>
      </c>
      <c r="AK29" s="18" t="s">
        <v>90</v>
      </c>
      <c r="AL29" s="18" t="s">
        <v>91</v>
      </c>
      <c r="AM29" s="18" t="s">
        <v>92</v>
      </c>
      <c r="AN29" s="18" t="s">
        <v>93</v>
      </c>
      <c r="AO29" s="18" t="s">
        <v>94</v>
      </c>
      <c r="AP29" s="18" t="s">
        <v>95</v>
      </c>
      <c r="AQ29" s="18" t="s">
        <v>96</v>
      </c>
      <c r="AR29" s="18" t="s">
        <v>97</v>
      </c>
      <c r="AS29" s="18" t="s">
        <v>98</v>
      </c>
      <c r="AT29" s="18" t="s">
        <v>99</v>
      </c>
      <c r="AU29" s="18" t="s">
        <v>100</v>
      </c>
      <c r="AV29" s="18" t="s">
        <v>101</v>
      </c>
      <c r="AW29" s="18" t="s">
        <v>102</v>
      </c>
      <c r="AX29" s="18" t="s">
        <v>103</v>
      </c>
      <c r="AY29" s="18" t="s">
        <v>104</v>
      </c>
      <c r="AZ29" s="18" t="s">
        <v>105</v>
      </c>
      <c r="BA29" s="18" t="s">
        <v>106</v>
      </c>
      <c r="BB29" s="18" t="s">
        <v>37</v>
      </c>
      <c r="BC29" s="18" t="s">
        <v>38</v>
      </c>
      <c r="BD29" s="18" t="s">
        <v>107</v>
      </c>
      <c r="BE29" s="18" t="s">
        <v>57</v>
      </c>
      <c r="BF29" s="18" t="s">
        <v>60</v>
      </c>
      <c r="BG29" s="18" t="s">
        <v>61</v>
      </c>
      <c r="BH29" s="18" t="s">
        <v>62</v>
      </c>
      <c r="BI29" s="18" t="s">
        <v>108</v>
      </c>
      <c r="BJ29" s="18" t="s">
        <v>109</v>
      </c>
      <c r="BK29" s="18" t="s">
        <v>58</v>
      </c>
      <c r="BL29" s="18" t="s">
        <v>51</v>
      </c>
      <c r="BM29" s="18" t="s">
        <v>110</v>
      </c>
      <c r="BN29" s="18" t="s">
        <v>111</v>
      </c>
      <c r="BO29" s="18" t="s">
        <v>112</v>
      </c>
      <c r="BP29" s="18" t="s">
        <v>113</v>
      </c>
      <c r="BQ29" s="18" t="s">
        <v>114</v>
      </c>
      <c r="BR29" s="18" t="s">
        <v>115</v>
      </c>
      <c r="BS29" s="18" t="s">
        <v>116</v>
      </c>
      <c r="BT29" s="18" t="s">
        <v>117</v>
      </c>
      <c r="BU29" s="18" t="s">
        <v>118</v>
      </c>
      <c r="BV29" s="18" t="s">
        <v>119</v>
      </c>
      <c r="BW29" s="18" t="s">
        <v>120</v>
      </c>
      <c r="BX29" s="18" t="s">
        <v>121</v>
      </c>
      <c r="BY29" s="18" t="s">
        <v>122</v>
      </c>
      <c r="BZ29" s="18" t="s">
        <v>123</v>
      </c>
      <c r="CA29" s="18" t="s">
        <v>124</v>
      </c>
      <c r="CB29" s="18" t="s">
        <v>125</v>
      </c>
      <c r="CC29" s="18" t="s">
        <v>126</v>
      </c>
      <c r="CD29" s="18" t="s">
        <v>127</v>
      </c>
      <c r="CE29" s="18" t="s">
        <v>128</v>
      </c>
      <c r="CF29" s="18" t="s">
        <v>129</v>
      </c>
      <c r="CG29" s="18" t="s">
        <v>130</v>
      </c>
      <c r="CH29" s="18" t="s">
        <v>131</v>
      </c>
      <c r="CI29" s="18" t="s">
        <v>132</v>
      </c>
      <c r="CJ29" s="18" t="s">
        <v>133</v>
      </c>
      <c r="CK29" s="18" t="s">
        <v>33</v>
      </c>
      <c r="CL29" s="18" t="s">
        <v>34</v>
      </c>
      <c r="CM29" s="18" t="s">
        <v>134</v>
      </c>
      <c r="CN29" s="18" t="s">
        <v>135</v>
      </c>
      <c r="CO29" s="18" t="s">
        <v>136</v>
      </c>
      <c r="CP29" s="18" t="s">
        <v>137</v>
      </c>
      <c r="CQ29" s="18" t="s">
        <v>138</v>
      </c>
      <c r="CR29" s="18" t="s">
        <v>139</v>
      </c>
      <c r="CS29" s="18" t="s">
        <v>140</v>
      </c>
      <c r="CT29" s="18" t="s">
        <v>141</v>
      </c>
      <c r="CU29" s="18" t="s">
        <v>142</v>
      </c>
      <c r="CV29" s="18" t="s">
        <v>143</v>
      </c>
      <c r="CW29" s="18" t="s">
        <v>144</v>
      </c>
      <c r="CX29" s="18" t="s">
        <v>145</v>
      </c>
      <c r="CY29" s="18" t="s">
        <v>146</v>
      </c>
      <c r="CZ29" s="18" t="s">
        <v>39</v>
      </c>
      <c r="DA29" s="18" t="s">
        <v>63</v>
      </c>
      <c r="DB29" s="18" t="s">
        <v>54</v>
      </c>
      <c r="DC29" s="18" t="s">
        <v>55</v>
      </c>
      <c r="DD29" s="18" t="s">
        <v>147</v>
      </c>
      <c r="DE29" s="18" t="s">
        <v>148</v>
      </c>
      <c r="DF29" s="18" t="s">
        <v>149</v>
      </c>
      <c r="DG29" s="18" t="s">
        <v>150</v>
      </c>
      <c r="DH29" s="18" t="s">
        <v>151</v>
      </c>
      <c r="DI29" s="18" t="s">
        <v>152</v>
      </c>
      <c r="DJ29" s="36" t="s">
        <v>153</v>
      </c>
      <c r="DK29" s="18" t="s">
        <v>154</v>
      </c>
      <c r="DL29" s="18" t="s">
        <v>155</v>
      </c>
      <c r="DM29" s="18" t="s">
        <v>156</v>
      </c>
      <c r="DN29" s="18" t="s">
        <v>157</v>
      </c>
      <c r="DO29" s="18" t="s">
        <v>158</v>
      </c>
      <c r="DP29" s="18" t="s">
        <v>159</v>
      </c>
      <c r="DQ29" s="18" t="s">
        <v>160</v>
      </c>
      <c r="DR29" s="18" t="s">
        <v>161</v>
      </c>
      <c r="DS29" s="18" t="s">
        <v>162</v>
      </c>
      <c r="DT29" s="18" t="s">
        <v>163</v>
      </c>
      <c r="DU29" s="18" t="s">
        <v>164</v>
      </c>
      <c r="DV29" s="18" t="s">
        <v>165</v>
      </c>
      <c r="DW29" s="18" t="s">
        <v>166</v>
      </c>
      <c r="DX29" s="18" t="s">
        <v>167</v>
      </c>
      <c r="DY29" s="36" t="s">
        <v>168</v>
      </c>
      <c r="DZ29" s="18" t="s">
        <v>169</v>
      </c>
      <c r="EA29" s="18" t="s">
        <v>170</v>
      </c>
      <c r="EB29" s="18" t="s">
        <v>171</v>
      </c>
      <c r="EC29" s="18" t="s">
        <v>172</v>
      </c>
      <c r="ED29" s="18" t="s">
        <v>173</v>
      </c>
      <c r="EE29" s="18" t="s">
        <v>174</v>
      </c>
      <c r="EF29" s="18" t="s">
        <v>175</v>
      </c>
      <c r="EG29" s="18" t="s">
        <v>176</v>
      </c>
      <c r="EH29" s="18" t="s">
        <v>177</v>
      </c>
      <c r="EI29" s="18" t="s">
        <v>178</v>
      </c>
      <c r="EJ29" s="18" t="s">
        <v>179</v>
      </c>
      <c r="EK29" s="18" t="s">
        <v>180</v>
      </c>
      <c r="EL29" s="18" t="s">
        <v>181</v>
      </c>
      <c r="EM29" s="18" t="s">
        <v>182</v>
      </c>
      <c r="EN29" s="18" t="s">
        <v>183</v>
      </c>
      <c r="EO29" s="18" t="s">
        <v>184</v>
      </c>
      <c r="EP29" s="18" t="s">
        <v>185</v>
      </c>
      <c r="EQ29" s="18" t="s">
        <v>186</v>
      </c>
      <c r="ER29" s="18" t="s">
        <v>187</v>
      </c>
      <c r="ES29" t="s">
        <v>437</v>
      </c>
    </row>
    <row r="30" spans="1:165" x14ac:dyDescent="0.15">
      <c r="A30" s="25" t="str">
        <f ca="1">ES30</f>
        <v>('KGJPN','1408000','CD2016032400020',0,'O','CDDR','DOMES',' ','DOMES',216000,'2016-03-31','2016-03-31','2016-04-02','2016-09-30','AAA','AAA','AAA',' ',null,0,'2016032400020',0,'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CD2016032400020</v>
      </c>
      <c r="E30" s="21">
        <v>0</v>
      </c>
      <c r="F30" s="20" t="s">
        <v>352</v>
      </c>
      <c r="G30" s="20" t="s">
        <v>189</v>
      </c>
      <c r="H30" s="20" t="s">
        <v>350</v>
      </c>
      <c r="I30" s="20" t="s">
        <v>43</v>
      </c>
      <c r="J30" s="20" t="s">
        <v>350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190</v>
      </c>
      <c r="Q30" s="20" t="s">
        <v>190</v>
      </c>
      <c r="R30" s="20" t="s">
        <v>190</v>
      </c>
      <c r="S30" s="20" t="s">
        <v>43</v>
      </c>
      <c r="T30" s="21"/>
      <c r="U30" s="21">
        <v>0</v>
      </c>
      <c r="V30" s="39" t="str">
        <f ca="1">RIGHT($C3,13)</f>
        <v>2016032400020</v>
      </c>
      <c r="W30" s="21">
        <v>0</v>
      </c>
      <c r="X30" s="20" t="s">
        <v>43</v>
      </c>
      <c r="Y30" s="21">
        <v>0</v>
      </c>
      <c r="Z30" s="20" t="s">
        <v>43</v>
      </c>
      <c r="AA30" s="21">
        <v>0</v>
      </c>
      <c r="AB30" s="21">
        <v>0</v>
      </c>
      <c r="AC30" s="21"/>
      <c r="AD30" s="21"/>
      <c r="AE30" s="20" t="s">
        <v>191</v>
      </c>
      <c r="AF30" s="21">
        <v>0</v>
      </c>
      <c r="AG30" s="21">
        <v>0</v>
      </c>
      <c r="AH30" s="20" t="s">
        <v>65</v>
      </c>
      <c r="AI30" s="20" t="s">
        <v>43</v>
      </c>
      <c r="AJ30" s="20" t="s">
        <v>192</v>
      </c>
      <c r="AK30" s="20" t="s">
        <v>65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65</v>
      </c>
      <c r="AV30" s="21">
        <v>0</v>
      </c>
      <c r="AW30" s="20" t="s">
        <v>65</v>
      </c>
      <c r="AX30" s="20" t="s">
        <v>43</v>
      </c>
      <c r="AY30" s="21"/>
      <c r="AZ30" s="21">
        <v>1</v>
      </c>
      <c r="BA30" s="20" t="s">
        <v>43</v>
      </c>
      <c r="BB30" s="20" t="s">
        <v>43</v>
      </c>
      <c r="BC30" s="20" t="s">
        <v>43</v>
      </c>
      <c r="BD30" s="20" t="s">
        <v>0</v>
      </c>
      <c r="BE30" s="20" t="s">
        <v>193</v>
      </c>
      <c r="BF30" s="20" t="s">
        <v>194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193</v>
      </c>
      <c r="BL30" s="20" t="s">
        <v>195</v>
      </c>
      <c r="BM30" s="20" t="s">
        <v>196</v>
      </c>
      <c r="BN30" s="20" t="s">
        <v>65</v>
      </c>
      <c r="BO30" s="20" t="s">
        <v>197</v>
      </c>
      <c r="BP30" s="20" t="s">
        <v>43</v>
      </c>
      <c r="BQ30" s="20" t="s">
        <v>197</v>
      </c>
      <c r="BR30" s="20" t="s">
        <v>197</v>
      </c>
      <c r="BS30" s="20" t="s">
        <v>43</v>
      </c>
      <c r="BT30" s="20" t="s">
        <v>65</v>
      </c>
      <c r="BU30" s="20" t="str">
        <f>$C$1</f>
        <v>KGJPN</v>
      </c>
      <c r="BV30" s="20" t="s">
        <v>65</v>
      </c>
      <c r="BW30" s="20" t="s">
        <v>43</v>
      </c>
      <c r="BX30" s="20" t="s">
        <v>43</v>
      </c>
      <c r="BY30" s="20" t="s">
        <v>65</v>
      </c>
      <c r="BZ30" s="20" t="s">
        <v>43</v>
      </c>
      <c r="CA30" s="20" t="s">
        <v>43</v>
      </c>
      <c r="CB30" s="20" t="s">
        <v>43</v>
      </c>
      <c r="CC30" s="20" t="s">
        <v>43</v>
      </c>
      <c r="CD30" s="21">
        <v>0</v>
      </c>
      <c r="CE30" s="20" t="s">
        <v>43</v>
      </c>
      <c r="CF30" s="20" t="s">
        <v>43</v>
      </c>
      <c r="CG30" s="20" t="s">
        <v>43</v>
      </c>
      <c r="CH30" s="20" t="s">
        <v>43</v>
      </c>
      <c r="CI30" s="20" t="s">
        <v>43</v>
      </c>
      <c r="CJ30" s="20" t="s">
        <v>198</v>
      </c>
      <c r="CK30" s="20" t="s">
        <v>43</v>
      </c>
      <c r="CL30" s="20" t="s">
        <v>43</v>
      </c>
      <c r="CM30" s="20" t="s">
        <v>43</v>
      </c>
      <c r="CN30" s="20" t="s">
        <v>43</v>
      </c>
      <c r="CO30" s="20" t="s">
        <v>193</v>
      </c>
      <c r="CP30" s="20" t="s">
        <v>43</v>
      </c>
      <c r="CQ30" s="20" t="s">
        <v>43</v>
      </c>
      <c r="CR30" s="20" t="str">
        <f>$C$1</f>
        <v>KGJPN</v>
      </c>
      <c r="CS30" s="20" t="s">
        <v>199</v>
      </c>
      <c r="CT30" s="20" t="s">
        <v>200</v>
      </c>
      <c r="CU30" s="20" t="s">
        <v>43</v>
      </c>
      <c r="CV30" s="20" t="s">
        <v>43</v>
      </c>
      <c r="CW30" s="20" t="s">
        <v>43</v>
      </c>
      <c r="CX30" s="20" t="s">
        <v>43</v>
      </c>
      <c r="CY30" s="20" t="s">
        <v>43</v>
      </c>
      <c r="CZ30" s="20" t="s">
        <v>43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43</v>
      </c>
      <c r="DO30" s="15" t="str">
        <f>$C$7</f>
        <v>KJ0245</v>
      </c>
      <c r="DP30" s="20" t="s">
        <v>43</v>
      </c>
      <c r="DQ30" s="20" t="s">
        <v>43</v>
      </c>
      <c r="DR30" s="20" t="s">
        <v>43</v>
      </c>
      <c r="DS30" s="20" t="s">
        <v>354</v>
      </c>
      <c r="DT30" s="20" t="s">
        <v>355</v>
      </c>
      <c r="DU30" s="20" t="s">
        <v>201</v>
      </c>
      <c r="DV30" s="20" t="s">
        <v>43</v>
      </c>
      <c r="DW30" s="20" t="s">
        <v>43</v>
      </c>
      <c r="DX30" s="23">
        <f>$C$4</f>
        <v>216000</v>
      </c>
      <c r="DY30" s="22">
        <v>42460</v>
      </c>
      <c r="DZ30" s="21">
        <v>0</v>
      </c>
      <c r="EA30" s="20" t="s">
        <v>43</v>
      </c>
      <c r="EB30" s="20" t="s">
        <v>43</v>
      </c>
      <c r="EC30" s="20" t="s">
        <v>43</v>
      </c>
      <c r="ED30" s="20" t="s">
        <v>43</v>
      </c>
      <c r="EE30" s="20" t="s">
        <v>43</v>
      </c>
      <c r="EF30" s="20" t="s">
        <v>0</v>
      </c>
      <c r="EG30" s="20" t="s">
        <v>43</v>
      </c>
      <c r="EH30" s="20" t="s">
        <v>43</v>
      </c>
      <c r="EI30" s="20" t="s">
        <v>43</v>
      </c>
      <c r="EJ30" s="20" t="s">
        <v>43</v>
      </c>
      <c r="EK30" s="20" t="s">
        <v>43</v>
      </c>
      <c r="EL30" s="20" t="s">
        <v>43</v>
      </c>
      <c r="EM30" s="20" t="s">
        <v>0</v>
      </c>
      <c r="EN30" s="20" t="s">
        <v>43</v>
      </c>
      <c r="EO30" s="20" t="s">
        <v>43</v>
      </c>
      <c r="EP30" s="20" t="s">
        <v>356</v>
      </c>
      <c r="EQ30" s="20" t="s">
        <v>43</v>
      </c>
      <c r="ER30" s="20" t="s">
        <v>357</v>
      </c>
      <c r="ES30" t="str">
        <f ca="1">ET30&amp;EU30&amp;EV30&amp;EW30&amp;EX30&amp;EY30&amp;EZ30&amp;FA30&amp;FB30&amp;FC30&amp;FD30&amp;FE30&amp;FF30&amp;FG30&amp;FH30&amp;FI30</f>
        <v>('KGJPN','1408000','CD2016032400020',0,'O','CDDR','DOMES',' ','DOMES',216000,'2016-03-31','2016-03-31','2016-04-02','2016-09-30','AAA','AAA','AAA',' ',null,0,'2016032400020',0,'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('KGJPN','1408000','CD2016032400020',0,'O','CDDR','DOMES','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',null,0,'2016032400020',0,'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359</v>
      </c>
    </row>
    <row r="31" spans="1:165" hidden="1" x14ac:dyDescent="0.15">
      <c r="B31" s="3" t="s">
        <v>438</v>
      </c>
      <c r="E31" t="s">
        <v>439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35</v>
      </c>
      <c r="C32" s="18" t="s">
        <v>36</v>
      </c>
      <c r="D32" s="18" t="s">
        <v>46</v>
      </c>
      <c r="E32" s="18" t="s">
        <v>47</v>
      </c>
      <c r="F32" s="18" t="s">
        <v>105</v>
      </c>
      <c r="G32" s="18" t="s">
        <v>232</v>
      </c>
      <c r="H32" s="18" t="s">
        <v>233</v>
      </c>
      <c r="I32" s="18" t="s">
        <v>234</v>
      </c>
      <c r="J32" s="18" t="s">
        <v>235</v>
      </c>
      <c r="K32" s="18" t="s">
        <v>236</v>
      </c>
      <c r="L32" s="36" t="s">
        <v>237</v>
      </c>
      <c r="M32" s="18" t="s">
        <v>118</v>
      </c>
      <c r="N32" s="18" t="s">
        <v>238</v>
      </c>
      <c r="O32" s="18" t="s">
        <v>239</v>
      </c>
      <c r="P32" s="18" t="s">
        <v>240</v>
      </c>
      <c r="Q32" s="18" t="s">
        <v>241</v>
      </c>
      <c r="R32" s="18" t="s">
        <v>242</v>
      </c>
      <c r="S32" s="18" t="s">
        <v>243</v>
      </c>
      <c r="T32" s="18" t="s">
        <v>244</v>
      </c>
      <c r="U32" s="18" t="s">
        <v>245</v>
      </c>
      <c r="V32" s="18" t="s">
        <v>246</v>
      </c>
      <c r="W32" s="18" t="s">
        <v>247</v>
      </c>
      <c r="X32" s="18" t="s">
        <v>209</v>
      </c>
      <c r="Y32" s="18" t="s">
        <v>58</v>
      </c>
      <c r="Z32" t="s">
        <v>440</v>
      </c>
    </row>
    <row r="33" spans="1:84" x14ac:dyDescent="0.15">
      <c r="A33" s="25" t="str">
        <f ca="1">Z33</f>
        <v>('KGJPN','1408000','CD2016032400020',0,1,'T','SK','KGT08','VO',8,'2016-03-31','KGJPN',200000,200000,200000,200000,16000,16000,0,0,'N','N','JPY','JPY');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CD2016032400020</v>
      </c>
      <c r="E33" s="21">
        <v>0</v>
      </c>
      <c r="F33" s="21">
        <v>1</v>
      </c>
      <c r="G33" s="20" t="s">
        <v>248</v>
      </c>
      <c r="H33" s="20" t="s">
        <v>249</v>
      </c>
      <c r="I33" s="20" t="s">
        <v>250</v>
      </c>
      <c r="J33" s="20" t="s">
        <v>251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65</v>
      </c>
      <c r="W33" s="20" t="s">
        <v>65</v>
      </c>
      <c r="X33" s="20" t="s">
        <v>193</v>
      </c>
      <c r="Y33" s="20" t="s">
        <v>193</v>
      </c>
      <c r="Z33" t="str">
        <f ca="1">AA33&amp;AB33&amp;AC33&amp;AD33&amp;AE33&amp;AF33&amp;AG33&amp;AH33&amp;AI33&amp;AJ33&amp;AK33&amp;AL33&amp;AM33&amp;AN33&amp;AO33&amp;AP33</f>
        <v>('KGJPN','1408000','CD2016032400020',0,1,'T','SK','KGT08','VO',8,'2016-03-31','KGJPN',200000,200000,200000,200000,16000,16000,0,0,'N','N','JPY','JPY');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('KGJPN','1408000','CD2016032400020',0,1,'T','SK','KGT08','VO',8,'2016-03-31','KGJPN',200000,200000,200000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359</v>
      </c>
    </row>
    <row r="34" spans="1:84" hidden="1" x14ac:dyDescent="0.15">
      <c r="B34" s="3" t="s">
        <v>296</v>
      </c>
      <c r="E34" t="s">
        <v>441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35</v>
      </c>
      <c r="C35" s="18" t="s">
        <v>36</v>
      </c>
      <c r="D35" s="18" t="s">
        <v>46</v>
      </c>
      <c r="E35" s="18" t="s">
        <v>47</v>
      </c>
      <c r="F35" s="18" t="s">
        <v>105</v>
      </c>
      <c r="G35" s="18" t="s">
        <v>252</v>
      </c>
      <c r="H35" s="18" t="s">
        <v>253</v>
      </c>
      <c r="I35" s="18" t="s">
        <v>254</v>
      </c>
      <c r="J35" s="18" t="s">
        <v>255</v>
      </c>
      <c r="K35" s="18" t="s">
        <v>256</v>
      </c>
      <c r="L35" s="18" t="s">
        <v>257</v>
      </c>
      <c r="M35" s="18" t="s">
        <v>258</v>
      </c>
      <c r="N35" s="18" t="s">
        <v>259</v>
      </c>
      <c r="O35" s="18" t="s">
        <v>260</v>
      </c>
      <c r="P35" s="18" t="s">
        <v>261</v>
      </c>
      <c r="Q35" s="18" t="s">
        <v>262</v>
      </c>
      <c r="R35" s="18" t="s">
        <v>263</v>
      </c>
      <c r="S35" s="18" t="s">
        <v>264</v>
      </c>
      <c r="T35" s="18" t="s">
        <v>265</v>
      </c>
      <c r="U35" s="18" t="s">
        <v>266</v>
      </c>
      <c r="V35" s="18" t="s">
        <v>267</v>
      </c>
      <c r="W35" s="18" t="s">
        <v>268</v>
      </c>
      <c r="X35" s="18" t="s">
        <v>269</v>
      </c>
      <c r="Y35" s="18" t="s">
        <v>270</v>
      </c>
      <c r="Z35" s="18" t="s">
        <v>271</v>
      </c>
      <c r="AA35" s="18" t="s">
        <v>177</v>
      </c>
      <c r="AB35" s="18" t="s">
        <v>272</v>
      </c>
      <c r="AC35" s="18" t="s">
        <v>273</v>
      </c>
      <c r="AD35" s="18" t="s">
        <v>274</v>
      </c>
      <c r="AE35" s="18" t="s">
        <v>275</v>
      </c>
      <c r="AF35" s="18" t="s">
        <v>276</v>
      </c>
      <c r="AG35" s="18" t="s">
        <v>277</v>
      </c>
      <c r="AH35" s="36" t="s">
        <v>278</v>
      </c>
      <c r="AI35" s="18" t="s">
        <v>279</v>
      </c>
      <c r="AJ35" s="36" t="s">
        <v>63</v>
      </c>
      <c r="AK35" s="18" t="s">
        <v>280</v>
      </c>
      <c r="AL35" s="36" t="s">
        <v>68</v>
      </c>
      <c r="AM35" s="18" t="s">
        <v>281</v>
      </c>
      <c r="AN35" s="18" t="s">
        <v>282</v>
      </c>
      <c r="AO35" s="18" t="s">
        <v>60</v>
      </c>
      <c r="AP35" s="18" t="s">
        <v>61</v>
      </c>
      <c r="AQ35" s="18" t="s">
        <v>62</v>
      </c>
      <c r="AR35" s="18" t="s">
        <v>58</v>
      </c>
      <c r="AS35" s="18" t="s">
        <v>283</v>
      </c>
      <c r="AT35" s="18" t="s">
        <v>284</v>
      </c>
      <c r="AU35" s="18" t="s">
        <v>285</v>
      </c>
      <c r="AV35" s="18" t="s">
        <v>286</v>
      </c>
      <c r="AW35" s="18" t="s">
        <v>287</v>
      </c>
      <c r="AX35" s="36" t="s">
        <v>288</v>
      </c>
      <c r="AY35" s="18" t="s">
        <v>289</v>
      </c>
      <c r="AZ35" s="18" t="s">
        <v>290</v>
      </c>
      <c r="BA35" s="18" t="s">
        <v>157</v>
      </c>
      <c r="BB35" s="18" t="s">
        <v>158</v>
      </c>
      <c r="BC35" s="18" t="s">
        <v>159</v>
      </c>
      <c r="BD35" s="18" t="s">
        <v>160</v>
      </c>
      <c r="BE35" s="18" t="s">
        <v>161</v>
      </c>
      <c r="BF35" s="18" t="s">
        <v>291</v>
      </c>
      <c r="BG35" s="36" t="s">
        <v>292</v>
      </c>
      <c r="BH35" s="18" t="s">
        <v>232</v>
      </c>
      <c r="BI35" s="18" t="s">
        <v>233</v>
      </c>
      <c r="BJ35" s="18" t="s">
        <v>234</v>
      </c>
      <c r="BK35" s="18" t="s">
        <v>235</v>
      </c>
      <c r="BL35" s="18" t="s">
        <v>52</v>
      </c>
      <c r="BM35" s="18" t="s">
        <v>293</v>
      </c>
      <c r="BN35" s="18" t="s">
        <v>294</v>
      </c>
      <c r="BO35" s="18" t="s">
        <v>295</v>
      </c>
      <c r="BP35" t="s">
        <v>442</v>
      </c>
    </row>
    <row r="36" spans="1:84" x14ac:dyDescent="0.15">
      <c r="A36" s="25" t="str">
        <f ca="1">BP36</f>
        <v>('KGJPN','1408000','CD2016032400020',0,1,'RECORDING','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CD2016032400020</v>
      </c>
      <c r="E36" s="21">
        <v>0</v>
      </c>
      <c r="F36" s="21">
        <v>1</v>
      </c>
      <c r="G36" s="20" t="s">
        <v>298</v>
      </c>
      <c r="H36" s="20" t="s">
        <v>43</v>
      </c>
      <c r="I36" s="21">
        <v>1</v>
      </c>
      <c r="J36" s="20" t="s">
        <v>0</v>
      </c>
      <c r="K36" s="15" t="str">
        <f>$C$1</f>
        <v>KGJPN</v>
      </c>
      <c r="L36" s="20" t="s">
        <v>299</v>
      </c>
      <c r="M36" s="20" t="s">
        <v>43</v>
      </c>
      <c r="N36" s="15" t="str">
        <f>$C$7</f>
        <v>KJ0245</v>
      </c>
      <c r="O36" s="20" t="s">
        <v>43</v>
      </c>
      <c r="P36" s="20" t="s">
        <v>43</v>
      </c>
      <c r="Q36" s="20" t="s">
        <v>43</v>
      </c>
      <c r="R36" s="20" t="s">
        <v>43</v>
      </c>
      <c r="S36" s="20" t="s">
        <v>43</v>
      </c>
      <c r="T36" s="20" t="s">
        <v>43</v>
      </c>
      <c r="U36" s="20" t="s">
        <v>43</v>
      </c>
      <c r="V36" s="20" t="s">
        <v>43</v>
      </c>
      <c r="W36" s="20" t="s">
        <v>43</v>
      </c>
      <c r="X36" s="15" t="str">
        <f>$C$2</f>
        <v>1408000</v>
      </c>
      <c r="Y36" s="20" t="s">
        <v>43</v>
      </c>
      <c r="Z36" s="20" t="s">
        <v>43</v>
      </c>
      <c r="AA36" s="20" t="s">
        <v>43</v>
      </c>
      <c r="AB36" s="20" t="s">
        <v>43</v>
      </c>
      <c r="AC36" s="23">
        <f>$C$4</f>
        <v>216000</v>
      </c>
      <c r="AD36" s="21">
        <v>0</v>
      </c>
      <c r="AE36" s="20" t="s">
        <v>43</v>
      </c>
      <c r="AF36" s="20" t="s">
        <v>43</v>
      </c>
      <c r="AG36" s="20" t="s">
        <v>353</v>
      </c>
      <c r="AH36" s="22">
        <v>42460</v>
      </c>
      <c r="AI36" s="20" t="s">
        <v>231</v>
      </c>
      <c r="AJ36" s="21">
        <v>11309753</v>
      </c>
      <c r="AK36" s="20" t="s">
        <v>300</v>
      </c>
      <c r="AL36" s="22">
        <v>42460</v>
      </c>
      <c r="AM36" s="20" t="s">
        <v>193</v>
      </c>
      <c r="AN36" s="23">
        <f>$C$4</f>
        <v>216000</v>
      </c>
      <c r="AO36" s="20" t="s">
        <v>194</v>
      </c>
      <c r="AP36" s="21">
        <v>1</v>
      </c>
      <c r="AQ36" s="21">
        <v>1</v>
      </c>
      <c r="AR36" s="20" t="s">
        <v>193</v>
      </c>
      <c r="AS36" s="20" t="s">
        <v>301</v>
      </c>
      <c r="AT36" s="21">
        <v>2015</v>
      </c>
      <c r="AU36" s="21">
        <v>12</v>
      </c>
      <c r="AV36" s="20" t="s">
        <v>43</v>
      </c>
      <c r="AW36" s="20" t="s">
        <v>43</v>
      </c>
      <c r="AX36" s="22">
        <v>42460</v>
      </c>
      <c r="AY36" s="20" t="s">
        <v>43</v>
      </c>
      <c r="AZ36" s="20" t="s">
        <v>65</v>
      </c>
      <c r="BA36" s="20" t="s">
        <v>43</v>
      </c>
      <c r="BB36" s="20" t="s">
        <v>43</v>
      </c>
      <c r="BC36" s="20" t="s">
        <v>43</v>
      </c>
      <c r="BD36" s="20" t="s">
        <v>43</v>
      </c>
      <c r="BE36" s="20" t="s">
        <v>43</v>
      </c>
      <c r="BF36" s="21">
        <v>36</v>
      </c>
      <c r="BG36" s="22">
        <v>42460</v>
      </c>
      <c r="BH36" s="20" t="s">
        <v>43</v>
      </c>
      <c r="BI36" s="20" t="s">
        <v>43</v>
      </c>
      <c r="BJ36" s="20" t="s">
        <v>43</v>
      </c>
      <c r="BK36" s="20" t="s">
        <v>43</v>
      </c>
      <c r="BL36" s="20" t="s">
        <v>43</v>
      </c>
      <c r="BM36" s="20" t="s">
        <v>43</v>
      </c>
      <c r="BN36" s="20" t="s">
        <v>43</v>
      </c>
      <c r="BO36" s="20" t="s">
        <v>65</v>
      </c>
      <c r="BP36" t="str">
        <f ca="1">BQ36&amp;BR36&amp;BS36&amp;BT36&amp;BU36&amp;BV36&amp;BW36&amp;BX36&amp;BY36&amp;BZ36&amp;CA36&amp;CB36&amp;CC36&amp;CD36&amp;CE36&amp;CF36</f>
        <v>('KGJPN','1408000','CD2016032400020',0,1,'RECORDING','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('KGJPN','1408000','CD2016032400020',0,1,'RECORDING','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44</v>
      </c>
    </row>
    <row r="37" spans="1:84" x14ac:dyDescent="0.15">
      <c r="A37" s="25" t="str">
        <f ca="1">BP37</f>
        <v>('KGJPN','1408000','CD2016032400020',0,1,'RECORDING','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CD2016032400020</v>
      </c>
      <c r="E37" s="21">
        <v>0</v>
      </c>
      <c r="F37" s="21">
        <v>1</v>
      </c>
      <c r="G37" s="20" t="s">
        <v>298</v>
      </c>
      <c r="H37" s="20" t="s">
        <v>43</v>
      </c>
      <c r="I37" s="21">
        <v>2</v>
      </c>
      <c r="J37" s="20" t="s">
        <v>0</v>
      </c>
      <c r="K37" s="15" t="str">
        <f>$C$1</f>
        <v>KGJPN</v>
      </c>
      <c r="L37" s="20" t="s">
        <v>351</v>
      </c>
      <c r="M37" s="20" t="s">
        <v>43</v>
      </c>
      <c r="N37" s="15" t="str">
        <f>$C$7</f>
        <v>KJ0245</v>
      </c>
      <c r="O37" s="20" t="s">
        <v>43</v>
      </c>
      <c r="P37" s="20" t="s">
        <v>43</v>
      </c>
      <c r="Q37" s="20" t="s">
        <v>43</v>
      </c>
      <c r="R37" s="20" t="s">
        <v>43</v>
      </c>
      <c r="S37" s="20" t="s">
        <v>43</v>
      </c>
      <c r="T37" s="20" t="s">
        <v>43</v>
      </c>
      <c r="U37" s="20" t="s">
        <v>43</v>
      </c>
      <c r="V37" s="20" t="s">
        <v>43</v>
      </c>
      <c r="W37" s="20" t="s">
        <v>43</v>
      </c>
      <c r="X37" s="15" t="str">
        <f>$C$2</f>
        <v>1408000</v>
      </c>
      <c r="Y37" s="20" t="s">
        <v>43</v>
      </c>
      <c r="Z37" s="20" t="s">
        <v>43</v>
      </c>
      <c r="AA37" s="20" t="s">
        <v>43</v>
      </c>
      <c r="AB37" s="20" t="s">
        <v>43</v>
      </c>
      <c r="AC37" s="23">
        <f>-1*$C$5</f>
        <v>-200000</v>
      </c>
      <c r="AD37" s="21">
        <v>0</v>
      </c>
      <c r="AE37" s="20" t="s">
        <v>43</v>
      </c>
      <c r="AF37" s="20" t="s">
        <v>43</v>
      </c>
      <c r="AG37" s="20" t="s">
        <v>353</v>
      </c>
      <c r="AH37" s="22">
        <v>42460</v>
      </c>
      <c r="AI37" s="20" t="s">
        <v>231</v>
      </c>
      <c r="AJ37" s="21">
        <v>11309753</v>
      </c>
      <c r="AK37" s="20" t="s">
        <v>300</v>
      </c>
      <c r="AL37" s="22">
        <v>42460</v>
      </c>
      <c r="AM37" s="20" t="s">
        <v>193</v>
      </c>
      <c r="AN37" s="23">
        <f>-1*$C$5</f>
        <v>-200000</v>
      </c>
      <c r="AO37" s="20" t="s">
        <v>194</v>
      </c>
      <c r="AP37" s="21">
        <v>1</v>
      </c>
      <c r="AQ37" s="21">
        <v>1</v>
      </c>
      <c r="AR37" s="20" t="s">
        <v>193</v>
      </c>
      <c r="AS37" s="20" t="s">
        <v>302</v>
      </c>
      <c r="AT37" s="21">
        <v>2015</v>
      </c>
      <c r="AU37" s="21">
        <v>12</v>
      </c>
      <c r="AV37" s="20" t="s">
        <v>43</v>
      </c>
      <c r="AW37" s="20" t="s">
        <v>43</v>
      </c>
      <c r="AX37" s="22">
        <v>42460</v>
      </c>
      <c r="AY37" s="20" t="s">
        <v>43</v>
      </c>
      <c r="AZ37" s="20" t="s">
        <v>65</v>
      </c>
      <c r="BA37" s="20" t="s">
        <v>43</v>
      </c>
      <c r="BB37" s="20" t="s">
        <v>43</v>
      </c>
      <c r="BC37" s="20" t="s">
        <v>43</v>
      </c>
      <c r="BD37" s="20" t="s">
        <v>43</v>
      </c>
      <c r="BE37" s="20" t="s">
        <v>43</v>
      </c>
      <c r="BF37" s="21">
        <v>296</v>
      </c>
      <c r="BG37" s="22">
        <v>42460</v>
      </c>
      <c r="BH37" s="20" t="s">
        <v>43</v>
      </c>
      <c r="BI37" s="20" t="s">
        <v>43</v>
      </c>
      <c r="BJ37" s="20" t="s">
        <v>43</v>
      </c>
      <c r="BK37" s="20" t="s">
        <v>43</v>
      </c>
      <c r="BL37" s="20" t="s">
        <v>43</v>
      </c>
      <c r="BM37" s="20" t="s">
        <v>43</v>
      </c>
      <c r="BN37" s="20" t="s">
        <v>43</v>
      </c>
      <c r="BO37" s="20" t="s">
        <v>65</v>
      </c>
      <c r="BP37" t="str">
        <f ca="1">BQ37&amp;BR37&amp;BS37&amp;BT37&amp;BU37&amp;BV37&amp;BW37&amp;BX37&amp;BY37&amp;BZ37&amp;CA37&amp;CB37&amp;CC37&amp;CD37&amp;CE37&amp;CF37</f>
        <v>('KGJPN','1408000','CD2016032400020',0,1,'RECORDING','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('KGJPN','1408000','CD2016032400020',0,1,'RECORDING','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44</v>
      </c>
    </row>
    <row r="38" spans="1:84" x14ac:dyDescent="0.15">
      <c r="A38" s="25" t="str">
        <f ca="1">BP38</f>
        <v>('KGJPN','1408000','CD2016032400020',0,1,'RECORDING','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CD2016032400020</v>
      </c>
      <c r="E38" s="21">
        <v>0</v>
      </c>
      <c r="F38" s="21">
        <v>1</v>
      </c>
      <c r="G38" s="20" t="s">
        <v>298</v>
      </c>
      <c r="H38" s="20" t="s">
        <v>43</v>
      </c>
      <c r="I38" s="21">
        <v>3</v>
      </c>
      <c r="J38" s="20" t="s">
        <v>0</v>
      </c>
      <c r="K38" s="15" t="str">
        <f>$C$1</f>
        <v>KGJPN</v>
      </c>
      <c r="L38" s="20" t="s">
        <v>303</v>
      </c>
      <c r="M38" s="20" t="s">
        <v>43</v>
      </c>
      <c r="N38" s="15" t="str">
        <f>$C$7</f>
        <v>KJ0245</v>
      </c>
      <c r="O38" s="20" t="s">
        <v>43</v>
      </c>
      <c r="P38" s="20" t="s">
        <v>43</v>
      </c>
      <c r="Q38" s="20" t="s">
        <v>43</v>
      </c>
      <c r="R38" s="20" t="s">
        <v>43</v>
      </c>
      <c r="S38" s="20" t="s">
        <v>43</v>
      </c>
      <c r="T38" s="20" t="s">
        <v>43</v>
      </c>
      <c r="U38" s="20" t="s">
        <v>43</v>
      </c>
      <c r="V38" s="20" t="s">
        <v>43</v>
      </c>
      <c r="W38" s="20" t="s">
        <v>43</v>
      </c>
      <c r="X38" s="15" t="str">
        <f>$C$2</f>
        <v>1408000</v>
      </c>
      <c r="Y38" s="20" t="s">
        <v>43</v>
      </c>
      <c r="Z38" s="20" t="s">
        <v>43</v>
      </c>
      <c r="AA38" s="20" t="s">
        <v>43</v>
      </c>
      <c r="AB38" s="20" t="s">
        <v>43</v>
      </c>
      <c r="AC38" s="23">
        <f>-1*$C$6</f>
        <v>-16000</v>
      </c>
      <c r="AD38" s="21">
        <v>0</v>
      </c>
      <c r="AE38" s="20" t="s">
        <v>43</v>
      </c>
      <c r="AF38" s="20" t="s">
        <v>43</v>
      </c>
      <c r="AG38" s="20" t="s">
        <v>353</v>
      </c>
      <c r="AH38" s="22">
        <v>42460</v>
      </c>
      <c r="AI38" s="20" t="s">
        <v>231</v>
      </c>
      <c r="AJ38" s="21">
        <v>11309753</v>
      </c>
      <c r="AK38" s="20" t="s">
        <v>300</v>
      </c>
      <c r="AL38" s="22">
        <v>42460</v>
      </c>
      <c r="AM38" s="20" t="s">
        <v>193</v>
      </c>
      <c r="AN38" s="23">
        <f>-1*$C$6</f>
        <v>-16000</v>
      </c>
      <c r="AO38" s="20" t="s">
        <v>194</v>
      </c>
      <c r="AP38" s="21">
        <v>1</v>
      </c>
      <c r="AQ38" s="21">
        <v>1</v>
      </c>
      <c r="AR38" s="20" t="s">
        <v>193</v>
      </c>
      <c r="AS38" s="20" t="s">
        <v>304</v>
      </c>
      <c r="AT38" s="21">
        <v>2015</v>
      </c>
      <c r="AU38" s="21">
        <v>12</v>
      </c>
      <c r="AV38" s="20" t="s">
        <v>43</v>
      </c>
      <c r="AW38" s="20" t="s">
        <v>43</v>
      </c>
      <c r="AX38" s="22">
        <v>42460</v>
      </c>
      <c r="AY38" s="20" t="s">
        <v>43</v>
      </c>
      <c r="AZ38" s="20" t="s">
        <v>65</v>
      </c>
      <c r="BA38" s="20" t="s">
        <v>43</v>
      </c>
      <c r="BB38" s="20" t="s">
        <v>43</v>
      </c>
      <c r="BC38" s="20" t="s">
        <v>43</v>
      </c>
      <c r="BD38" s="20" t="s">
        <v>43</v>
      </c>
      <c r="BE38" s="20" t="s">
        <v>43</v>
      </c>
      <c r="BF38" s="21">
        <v>297</v>
      </c>
      <c r="BG38" s="22">
        <v>42460</v>
      </c>
      <c r="BH38" s="20" t="s">
        <v>248</v>
      </c>
      <c r="BI38" s="20" t="s">
        <v>249</v>
      </c>
      <c r="BJ38" s="20" t="s">
        <v>250</v>
      </c>
      <c r="BK38" s="20" t="s">
        <v>251</v>
      </c>
      <c r="BL38" s="20" t="s">
        <v>43</v>
      </c>
      <c r="BM38" s="20" t="s">
        <v>43</v>
      </c>
      <c r="BN38" s="20" t="s">
        <v>43</v>
      </c>
      <c r="BO38" s="20" t="s">
        <v>65</v>
      </c>
      <c r="BP38" t="str">
        <f ca="1">BQ38&amp;BR38&amp;BS38&amp;BT38&amp;BU38&amp;BV38&amp;BW38&amp;BX38&amp;BY38&amp;BZ38&amp;CA38&amp;CB38&amp;CC38&amp;CD38&amp;CE38&amp;CF38</f>
        <v>('KGJPN','1408000','CD2016032400020',0,1,'RECORDING','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('KGJPN','1408000','CD2016032400020',0,1,'RECORDING','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359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69" t="s">
        <v>394</v>
      </c>
      <c r="C3" s="69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5" t="s">
        <v>499</v>
      </c>
      <c r="J3" s="55" t="s">
        <v>498</v>
      </c>
      <c r="K3" s="47" t="s">
        <v>368</v>
      </c>
      <c r="L3" s="47" t="s">
        <v>505</v>
      </c>
      <c r="M3" s="47"/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69" t="s">
        <v>396</v>
      </c>
      <c r="C4" s="69" t="s">
        <v>397</v>
      </c>
      <c r="D4" s="33" t="s">
        <v>497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5" t="s">
        <v>501</v>
      </c>
      <c r="J4" s="55" t="s">
        <v>500</v>
      </c>
      <c r="K4" s="47" t="s">
        <v>368</v>
      </c>
      <c r="L4" s="47" t="s">
        <v>505</v>
      </c>
      <c r="M4" s="47"/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69" t="s">
        <v>505</v>
      </c>
      <c r="C5" s="69" t="s">
        <v>504</v>
      </c>
      <c r="D5" s="40"/>
      <c r="E5" s="74" t="s">
        <v>569</v>
      </c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5" t="s">
        <v>503</v>
      </c>
      <c r="J5" s="55" t="s">
        <v>502</v>
      </c>
      <c r="K5" s="47" t="s">
        <v>368</v>
      </c>
      <c r="L5" s="47" t="s">
        <v>505</v>
      </c>
      <c r="M5" s="47"/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70" t="s">
        <v>507</v>
      </c>
      <c r="C6" s="71" t="s">
        <v>506</v>
      </c>
      <c r="D6" s="34"/>
      <c r="E6" s="34"/>
      <c r="G6" s="75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5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4" t="s">
        <v>509</v>
      </c>
      <c r="J6" s="54" t="s">
        <v>508</v>
      </c>
      <c r="K6" s="47" t="s">
        <v>368</v>
      </c>
      <c r="L6" s="47" t="s">
        <v>511</v>
      </c>
      <c r="M6" s="47"/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69" t="s">
        <v>511</v>
      </c>
      <c r="C7" s="69" t="s">
        <v>510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4" t="s">
        <v>513</v>
      </c>
      <c r="J7" s="54" t="s">
        <v>512</v>
      </c>
      <c r="K7" s="47" t="s">
        <v>368</v>
      </c>
      <c r="L7" s="47" t="s">
        <v>511</v>
      </c>
      <c r="M7" s="47"/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70" t="s">
        <v>524</v>
      </c>
      <c r="C8" s="70" t="s">
        <v>523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4" t="s">
        <v>515</v>
      </c>
      <c r="J8" s="54" t="s">
        <v>514</v>
      </c>
      <c r="K8" s="47" t="s">
        <v>368</v>
      </c>
      <c r="L8" s="47" t="s">
        <v>511</v>
      </c>
      <c r="M8" s="47"/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69"/>
      <c r="C9" s="69"/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54" t="s">
        <v>517</v>
      </c>
      <c r="J9" s="54" t="s">
        <v>516</v>
      </c>
      <c r="K9" s="47" t="s">
        <v>368</v>
      </c>
      <c r="L9" s="47" t="s">
        <v>511</v>
      </c>
      <c r="M9" s="47"/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69"/>
      <c r="C10" s="69"/>
      <c r="D10" s="34"/>
      <c r="E10" s="34"/>
      <c r="G10" s="75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5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54" t="s">
        <v>519</v>
      </c>
      <c r="J10" s="54" t="s">
        <v>518</v>
      </c>
      <c r="K10" s="47" t="s">
        <v>368</v>
      </c>
      <c r="L10" s="47" t="s">
        <v>511</v>
      </c>
      <c r="M10" s="47"/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69"/>
      <c r="C11" s="69"/>
      <c r="D11" s="34"/>
      <c r="E11" s="34"/>
      <c r="G11" s="75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5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4" t="s">
        <v>521</v>
      </c>
      <c r="J11" s="54" t="s">
        <v>520</v>
      </c>
      <c r="K11" s="47" t="s">
        <v>368</v>
      </c>
      <c r="L11" s="47" t="s">
        <v>511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69"/>
      <c r="C12" s="69"/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522</v>
      </c>
      <c r="J12" s="69" t="s">
        <v>529</v>
      </c>
      <c r="K12" s="47" t="s">
        <v>511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69"/>
      <c r="C13" s="69"/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9" t="s">
        <v>526</v>
      </c>
      <c r="J13" s="69" t="s">
        <v>525</v>
      </c>
      <c r="K13" s="47" t="s">
        <v>368</v>
      </c>
      <c r="L13" s="47" t="s">
        <v>511</v>
      </c>
      <c r="M13" s="47"/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69"/>
      <c r="C14" s="69"/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9" t="s">
        <v>528</v>
      </c>
      <c r="J14" s="69" t="s">
        <v>527</v>
      </c>
      <c r="K14" s="47" t="s">
        <v>368</v>
      </c>
      <c r="L14" s="47" t="s">
        <v>511</v>
      </c>
      <c r="M14" s="47"/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9" t="s">
        <v>530</v>
      </c>
      <c r="J15" s="69" t="s">
        <v>531</v>
      </c>
      <c r="K15" s="47" t="s">
        <v>368</v>
      </c>
      <c r="L15" s="47" t="s">
        <v>511</v>
      </c>
      <c r="M15" s="47"/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9" t="s">
        <v>533</v>
      </c>
      <c r="J16" s="69" t="s">
        <v>532</v>
      </c>
      <c r="K16" s="47" t="s">
        <v>368</v>
      </c>
      <c r="L16" s="47" t="s">
        <v>511</v>
      </c>
      <c r="M16" s="47"/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/>
      </c>
      <c r="C17" s="52" t="s">
        <v>493</v>
      </c>
      <c r="G17" s="75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5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9" t="s">
        <v>577</v>
      </c>
      <c r="J17" s="69" t="s">
        <v>576</v>
      </c>
      <c r="K17" s="47" t="s">
        <v>368</v>
      </c>
      <c r="L17" s="47" t="s">
        <v>511</v>
      </c>
      <c r="M17" s="47"/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5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5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9" t="s">
        <v>579</v>
      </c>
      <c r="J18" s="69" t="s">
        <v>578</v>
      </c>
      <c r="K18" s="47" t="s">
        <v>368</v>
      </c>
      <c r="L18" s="47" t="s">
        <v>511</v>
      </c>
      <c r="M18" s="47"/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45"/>
      <c r="H19" s="45"/>
      <c r="I19" s="69"/>
      <c r="J19" s="69"/>
      <c r="K19" s="47" t="s">
        <v>368</v>
      </c>
      <c r="L19" s="47"/>
      <c r="M19" s="47"/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/>
      <c r="C20" s="13" t="s">
        <v>493</v>
      </c>
      <c r="G20" s="45"/>
      <c r="H20" s="45"/>
      <c r="I20" s="69"/>
      <c r="J20" s="69"/>
      <c r="K20" s="47" t="s">
        <v>368</v>
      </c>
      <c r="L20" s="47"/>
      <c r="M20" s="47"/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/>
      <c r="C21" s="13" t="s">
        <v>493</v>
      </c>
      <c r="G21" s="45"/>
      <c r="H21" s="45"/>
      <c r="I21" s="69"/>
      <c r="J21" s="69"/>
      <c r="K21" s="47" t="s">
        <v>368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/>
      <c r="C22" s="13" t="s">
        <v>493</v>
      </c>
      <c r="G22" s="45"/>
      <c r="H22" s="45"/>
      <c r="I22" s="69"/>
      <c r="J22" s="69"/>
      <c r="K22" s="47" t="s">
        <v>368</v>
      </c>
      <c r="L22" s="47"/>
      <c r="M22" s="47"/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/>
      <c r="C23" s="13" t="s">
        <v>494</v>
      </c>
      <c r="G23" s="45"/>
      <c r="H23" s="45"/>
      <c r="I23" s="69"/>
      <c r="J23" s="69"/>
      <c r="K23" s="47" t="s">
        <v>368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/>
      <c r="C24" s="13" t="s">
        <v>494</v>
      </c>
      <c r="G24" s="45"/>
      <c r="H24" s="45"/>
      <c r="I24" s="69"/>
      <c r="J24" s="69"/>
      <c r="K24" s="47" t="s">
        <v>368</v>
      </c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/>
      <c r="C25" s="13" t="s">
        <v>493</v>
      </c>
      <c r="G25" s="45"/>
      <c r="H25" s="45"/>
      <c r="I25" s="69"/>
      <c r="J25" s="69"/>
      <c r="K25" s="47" t="s">
        <v>368</v>
      </c>
      <c r="L25" s="47"/>
      <c r="M25" s="47"/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45"/>
      <c r="H26" s="45"/>
      <c r="I26" s="69"/>
      <c r="J26" s="69"/>
      <c r="K26" s="47" t="s">
        <v>368</v>
      </c>
      <c r="L26" s="47"/>
      <c r="M26" s="47"/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45"/>
      <c r="H27" s="45"/>
      <c r="I27" s="69"/>
      <c r="J27" s="69"/>
      <c r="K27" s="47" t="s">
        <v>368</v>
      </c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45"/>
      <c r="H28" s="45"/>
      <c r="I28" s="69"/>
      <c r="J28" s="69"/>
      <c r="K28" s="47" t="s">
        <v>368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45"/>
      <c r="H29" s="45"/>
      <c r="I29" s="69"/>
      <c r="J29" s="69"/>
      <c r="K29" s="47" t="s">
        <v>368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45"/>
      <c r="H30" s="45"/>
      <c r="I30" s="69"/>
      <c r="J30" s="69"/>
      <c r="K30" s="47" t="s">
        <v>368</v>
      </c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/>
      <c r="C32" s="57"/>
      <c r="D32" s="57"/>
      <c r="E32" s="58"/>
      <c r="G32" s="76"/>
      <c r="H32" s="76"/>
      <c r="I32" s="13" t="s">
        <v>580</v>
      </c>
    </row>
    <row r="33" spans="1:9" x14ac:dyDescent="0.15">
      <c r="B33" s="59"/>
      <c r="C33" s="60"/>
      <c r="D33" s="60"/>
      <c r="E33" s="61"/>
      <c r="G33" s="77"/>
      <c r="H33" s="77"/>
      <c r="I33" s="13" t="s">
        <v>582</v>
      </c>
    </row>
    <row r="34" spans="1:9" x14ac:dyDescent="0.15">
      <c r="B34" s="59"/>
      <c r="C34" s="60"/>
      <c r="D34" s="60"/>
      <c r="E34" s="61"/>
      <c r="G34" s="78"/>
      <c r="H34" s="78"/>
      <c r="I34" s="13" t="s">
        <v>581</v>
      </c>
    </row>
    <row r="35" spans="1:9" x14ac:dyDescent="0.15">
      <c r="B35" s="59"/>
      <c r="C35" s="60"/>
      <c r="D35" s="60"/>
      <c r="E35" s="61"/>
    </row>
    <row r="36" spans="1:9" x14ac:dyDescent="0.15">
      <c r="B36" s="59"/>
      <c r="C36" s="60"/>
      <c r="D36" s="60"/>
      <c r="E36" s="61"/>
    </row>
    <row r="37" spans="1:9" x14ac:dyDescent="0.15">
      <c r="B37" s="59"/>
      <c r="C37" s="60"/>
      <c r="D37" s="60"/>
      <c r="E37" s="61"/>
    </row>
    <row r="38" spans="1:9" x14ac:dyDescent="0.15">
      <c r="B38" s="59"/>
      <c r="C38" s="60"/>
      <c r="D38" s="60"/>
      <c r="E38" s="61"/>
    </row>
    <row r="39" spans="1:9" x14ac:dyDescent="0.15">
      <c r="B39" s="59"/>
      <c r="C39" s="60"/>
      <c r="D39" s="60"/>
      <c r="E39" s="61"/>
    </row>
    <row r="40" spans="1:9" x14ac:dyDescent="0.15">
      <c r="B40" s="59"/>
      <c r="C40" s="60"/>
      <c r="D40" s="60"/>
      <c r="E40" s="61"/>
    </row>
    <row r="41" spans="1:9" x14ac:dyDescent="0.15">
      <c r="B41" s="59"/>
      <c r="C41" s="60"/>
      <c r="D41" s="60"/>
      <c r="E41" s="61"/>
    </row>
    <row r="42" spans="1:9" x14ac:dyDescent="0.15">
      <c r="B42" s="59"/>
      <c r="C42" s="60"/>
      <c r="D42" s="60"/>
      <c r="E42" s="61"/>
    </row>
    <row r="43" spans="1:9" x14ac:dyDescent="0.15">
      <c r="B43" s="59"/>
      <c r="C43" s="60"/>
      <c r="D43" s="60"/>
      <c r="E43" s="61"/>
    </row>
    <row r="44" spans="1:9" x14ac:dyDescent="0.15">
      <c r="B44" s="59"/>
      <c r="C44" s="60"/>
      <c r="D44" s="60"/>
      <c r="E44" s="61"/>
    </row>
    <row r="45" spans="1:9" x14ac:dyDescent="0.15">
      <c r="A45" s="68"/>
      <c r="B45" s="65"/>
      <c r="C45" s="60"/>
      <c r="D45" s="60"/>
      <c r="E45" s="61"/>
    </row>
    <row r="46" spans="1:9" x14ac:dyDescent="0.15">
      <c r="A46" s="68"/>
      <c r="B46" s="65"/>
      <c r="C46" s="60"/>
      <c r="D46" s="60"/>
      <c r="E46" s="61"/>
    </row>
    <row r="47" spans="1:9" x14ac:dyDescent="0.15">
      <c r="A47" s="68"/>
      <c r="B47" s="65"/>
      <c r="C47" s="60"/>
      <c r="D47" s="60"/>
      <c r="E47" s="61"/>
    </row>
    <row r="48" spans="1:9" x14ac:dyDescent="0.15">
      <c r="A48" s="68"/>
      <c r="B48" s="65"/>
      <c r="C48" s="60"/>
      <c r="D48" s="60"/>
      <c r="E48" s="61"/>
    </row>
    <row r="49" spans="2:5" x14ac:dyDescent="0.15">
      <c r="B49" s="62"/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D31" sqref="D31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587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588</v>
      </c>
      <c r="D3" s="8" t="s">
        <v>7</v>
      </c>
      <c r="G3" s="1" t="s">
        <v>32</v>
      </c>
      <c r="H3" s="1" t="s">
        <v>23</v>
      </c>
    </row>
    <row r="4" spans="1:8" x14ac:dyDescent="0.15">
      <c r="A4" s="2" t="s">
        <v>11</v>
      </c>
      <c r="B4" s="9" t="s">
        <v>588</v>
      </c>
      <c r="D4" t="s">
        <v>9</v>
      </c>
      <c r="G4" s="1" t="s">
        <v>458</v>
      </c>
      <c r="H4" s="1" t="s">
        <v>24</v>
      </c>
    </row>
    <row r="5" spans="1:8" x14ac:dyDescent="0.15">
      <c r="A5" s="2" t="s">
        <v>12</v>
      </c>
      <c r="B5" s="9" t="s">
        <v>588</v>
      </c>
      <c r="D5" t="s">
        <v>8</v>
      </c>
      <c r="G5" s="1" t="s">
        <v>459</v>
      </c>
    </row>
    <row r="6" spans="1:8" x14ac:dyDescent="0.15">
      <c r="A6" s="42"/>
      <c r="B6" s="1"/>
      <c r="D6" s="6"/>
      <c r="G6" s="41" t="s">
        <v>460</v>
      </c>
    </row>
    <row r="7" spans="1:8" x14ac:dyDescent="0.15">
      <c r="A7" s="2"/>
      <c r="B7" s="1"/>
      <c r="D7" s="6"/>
      <c r="G7" s="17" t="s">
        <v>461</v>
      </c>
    </row>
    <row r="8" spans="1:8" x14ac:dyDescent="0.15">
      <c r="A8" s="2" t="s">
        <v>5</v>
      </c>
      <c r="B8" s="9" t="s">
        <v>589</v>
      </c>
      <c r="D8" s="6"/>
      <c r="G8" s="1" t="s">
        <v>31</v>
      </c>
    </row>
    <row r="9" spans="1:8" x14ac:dyDescent="0.15">
      <c r="A9" s="2" t="s">
        <v>14</v>
      </c>
      <c r="B9" s="1" t="s">
        <v>0</v>
      </c>
      <c r="D9" s="6"/>
      <c r="G9" s="1" t="s">
        <v>574</v>
      </c>
    </row>
    <row r="10" spans="1:8" x14ac:dyDescent="0.15">
      <c r="A10" s="2" t="s">
        <v>15</v>
      </c>
      <c r="B10" s="1" t="s">
        <v>0</v>
      </c>
      <c r="D10" s="6"/>
      <c r="G10" s="1" t="s">
        <v>575</v>
      </c>
    </row>
    <row r="11" spans="1:8" x14ac:dyDescent="0.15">
      <c r="A11" s="2" t="s">
        <v>22</v>
      </c>
      <c r="B11" s="1" t="s">
        <v>0</v>
      </c>
      <c r="D11" s="6"/>
      <c r="G11" s="17"/>
    </row>
    <row r="12" spans="1:8" x14ac:dyDescent="0.15">
      <c r="A12" s="2" t="s">
        <v>26</v>
      </c>
      <c r="B12" s="1" t="s">
        <v>0</v>
      </c>
      <c r="D12" s="6"/>
      <c r="G12" s="1" t="s">
        <v>570</v>
      </c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 t="s">
        <v>571</v>
      </c>
    </row>
    <row r="14" spans="1:8" x14ac:dyDescent="0.15">
      <c r="G14" s="1" t="s">
        <v>572</v>
      </c>
    </row>
    <row r="15" spans="1:8" x14ac:dyDescent="0.15">
      <c r="E15" s="16" t="s">
        <v>16</v>
      </c>
      <c r="G15" s="17" t="s">
        <v>573</v>
      </c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 t="s">
        <v>585</v>
      </c>
    </row>
    <row r="22" spans="1:10" x14ac:dyDescent="0.15">
      <c r="G22" s="1"/>
    </row>
    <row r="23" spans="1:10" x14ac:dyDescent="0.15">
      <c r="G23" s="1"/>
    </row>
    <row r="24" spans="1:10" x14ac:dyDescent="0.15">
      <c r="G24" s="41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469</v>
      </c>
      <c r="G29" s="1"/>
    </row>
    <row r="30" spans="1:10" x14ac:dyDescent="0.15">
      <c r="A30" s="2" t="s">
        <v>476</v>
      </c>
      <c r="B30" s="1" t="s">
        <v>201</v>
      </c>
      <c r="C30" t="s">
        <v>470</v>
      </c>
      <c r="G30" s="1"/>
    </row>
    <row r="31" spans="1:10" x14ac:dyDescent="0.15">
      <c r="A31" s="2" t="s">
        <v>474</v>
      </c>
      <c r="B31" s="1" t="s">
        <v>65</v>
      </c>
      <c r="C31" t="s">
        <v>475</v>
      </c>
    </row>
    <row r="32" spans="1:10" x14ac:dyDescent="0.15">
      <c r="A32" s="2" t="s">
        <v>477</v>
      </c>
      <c r="B32" s="1" t="s">
        <v>0</v>
      </c>
      <c r="C32" t="s">
        <v>475</v>
      </c>
    </row>
    <row r="33" spans="1:3" x14ac:dyDescent="0.15">
      <c r="A33" s="2" t="s">
        <v>472</v>
      </c>
      <c r="B33" s="1">
        <v>1</v>
      </c>
      <c r="C33" t="s">
        <v>471</v>
      </c>
    </row>
    <row r="34" spans="1:3" x14ac:dyDescent="0.15">
      <c r="A34" s="2" t="s">
        <v>473</v>
      </c>
      <c r="B34" s="1"/>
      <c r="C34" t="s">
        <v>471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8</xdr:col>
                <xdr:colOff>676275</xdr:colOff>
                <xdr:row>1</xdr:row>
                <xdr:rowOff>0</xdr:rowOff>
              </from>
              <to>
                <xdr:col>11</xdr:col>
                <xdr:colOff>38100</xdr:colOff>
                <xdr:row>27</xdr:row>
                <xdr:rowOff>9525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565" r:id="rId10" name="cmdBtnSearch3">
          <controlPr defaultSize="0" autoLine="0" r:id="rId11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10" name="cmdBtnSearch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9"/>
  <sheetViews>
    <sheetView tabSelected="1" zoomScale="85" zoomScaleNormal="85" workbookViewId="0">
      <selection activeCell="C7" sqref="C7"/>
    </sheetView>
  </sheetViews>
  <sheetFormatPr defaultRowHeight="13.5" x14ac:dyDescent="0.15"/>
  <cols>
    <col min="1" max="1" width="10.25" customWidth="1"/>
    <col min="2" max="2" width="11.1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30</v>
      </c>
      <c r="C3" t="s">
        <v>495</v>
      </c>
    </row>
    <row r="4" spans="1:4" x14ac:dyDescent="0.15">
      <c r="A4" t="s">
        <v>586</v>
      </c>
      <c r="B4" t="s">
        <v>30</v>
      </c>
      <c r="C4" t="s">
        <v>584</v>
      </c>
    </row>
    <row r="5" spans="1:4" x14ac:dyDescent="0.15">
      <c r="A5" t="s">
        <v>592</v>
      </c>
      <c r="B5" t="s">
        <v>30</v>
      </c>
      <c r="C5" t="s">
        <v>583</v>
      </c>
    </row>
    <row r="6" spans="1:4" x14ac:dyDescent="0.15">
      <c r="A6" t="s">
        <v>591</v>
      </c>
      <c r="B6" t="s">
        <v>30</v>
      </c>
      <c r="C6" t="s">
        <v>590</v>
      </c>
    </row>
    <row r="7" spans="1:4" x14ac:dyDescent="0.15">
      <c r="D7" s="7"/>
    </row>
    <row r="8" spans="1:4" x14ac:dyDescent="0.15">
      <c r="C8" s="10"/>
    </row>
    <row r="9" spans="1:4" x14ac:dyDescent="0.15">
      <c r="C9" s="10"/>
    </row>
    <row r="10" spans="1:4" x14ac:dyDescent="0.15">
      <c r="C10" s="10"/>
    </row>
    <row r="11" spans="1:4" x14ac:dyDescent="0.15">
      <c r="C11" s="10"/>
    </row>
    <row r="12" spans="1:4" x14ac:dyDescent="0.15">
      <c r="C12" s="10"/>
    </row>
    <row r="13" spans="1:4" x14ac:dyDescent="0.15">
      <c r="C13" s="10"/>
    </row>
    <row r="14" spans="1:4" x14ac:dyDescent="0.15">
      <c r="C14" s="10"/>
    </row>
    <row r="15" spans="1:4" x14ac:dyDescent="0.15">
      <c r="C15" s="10"/>
    </row>
    <row r="16" spans="1:4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5" spans="3:3" x14ac:dyDescent="0.15">
      <c r="C25" s="10"/>
    </row>
    <row r="26" spans="3:3" x14ac:dyDescent="0.15">
      <c r="C26" s="10"/>
    </row>
    <row r="27" spans="3:3" x14ac:dyDescent="0.15">
      <c r="C27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4" spans="3:3" x14ac:dyDescent="0.15">
      <c r="C34" s="12"/>
    </row>
    <row r="58" spans="1:6" ht="14.25" thickBot="1" x14ac:dyDescent="0.2">
      <c r="A58" s="5"/>
      <c r="B58" s="5" t="s">
        <v>4</v>
      </c>
      <c r="C58" s="5"/>
      <c r="D58" s="5"/>
      <c r="E58" s="5"/>
      <c r="F58" s="5"/>
    </row>
    <row r="59" spans="1:6" x14ac:dyDescent="0.15">
      <c r="A59" t="s">
        <v>21</v>
      </c>
    </row>
  </sheetData>
  <autoFilter ref="A1:A65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CD</vt:lpstr>
      <vt:lpstr>AR</vt:lpstr>
      <vt:lpstr>AP</vt:lpstr>
      <vt:lpstr>Config</vt:lpstr>
      <vt:lpstr>Sql</vt:lpstr>
      <vt:lpstr>AP!SQLCondition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2017-03-24T02:46:56Z</dcterms:modified>
</cp:coreProperties>
</file>