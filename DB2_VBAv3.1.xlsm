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510" windowWidth="14955" windowHeight="7230" tabRatio="694" activeTab="4"/>
  </bookViews>
  <sheets>
    <sheet name="CD" sheetId="29" r:id="rId1"/>
    <sheet name="AR" sheetId="30" r:id="rId2"/>
    <sheet name="AP" sheetId="32" r:id="rId3"/>
    <sheet name="Config" sheetId="3" r:id="rId4"/>
    <sheet name="Sql" sheetId="2" r:id="rId5"/>
  </sheets>
  <functionGroups builtInGroupCount="17"/>
  <definedNames>
    <definedName name="_xlnm._FilterDatabase" localSheetId="3" hidden="1">Config!$A$2:$D$11</definedName>
    <definedName name="_xlnm._FilterDatabase" localSheetId="4" hidden="1">Sql!$A$1:$A$68</definedName>
    <definedName name="SQLCondition" localSheetId="2">AP!$B$3:$B$15</definedName>
    <definedName name="SQLCondition">CD!$B$3:$B$15</definedName>
  </definedNames>
  <calcPr calcId="145621"/>
</workbook>
</file>

<file path=xl/calcChain.xml><?xml version="1.0" encoding="utf-8"?>
<calcChain xmlns="http://schemas.openxmlformats.org/spreadsheetml/2006/main">
  <c r="G18" i="32" l="1"/>
  <c r="H18" i="32"/>
  <c r="G17" i="32"/>
  <c r="H17" i="32"/>
  <c r="G4" i="29" l="1"/>
  <c r="H4" i="29"/>
  <c r="G5" i="29"/>
  <c r="H5" i="29"/>
  <c r="G6" i="29"/>
  <c r="H6" i="29"/>
  <c r="G7" i="29"/>
  <c r="H7" i="29"/>
  <c r="G8" i="29"/>
  <c r="H8" i="29"/>
  <c r="G9" i="29"/>
  <c r="H9" i="29"/>
  <c r="G10" i="29"/>
  <c r="H10" i="29"/>
  <c r="G11" i="29"/>
  <c r="H11" i="29"/>
  <c r="G12" i="29"/>
  <c r="H12" i="29"/>
  <c r="G13" i="29"/>
  <c r="H13" i="29"/>
  <c r="G14" i="29"/>
  <c r="H14" i="29"/>
  <c r="G15" i="29"/>
  <c r="H15" i="29"/>
  <c r="G16" i="29"/>
  <c r="H16" i="29"/>
  <c r="G17" i="29"/>
  <c r="H17" i="29"/>
  <c r="G18" i="29"/>
  <c r="H18" i="29"/>
  <c r="G19" i="29"/>
  <c r="H19" i="29"/>
  <c r="G20" i="29"/>
  <c r="H20" i="29"/>
  <c r="G21" i="29"/>
  <c r="H21" i="29"/>
  <c r="G22" i="29"/>
  <c r="H22" i="29"/>
  <c r="G23" i="29"/>
  <c r="H23" i="29"/>
  <c r="G24" i="29"/>
  <c r="H24" i="29"/>
  <c r="G25" i="29"/>
  <c r="H25" i="29"/>
  <c r="G26" i="29"/>
  <c r="H26" i="29"/>
  <c r="G27" i="29"/>
  <c r="H27" i="29"/>
  <c r="G28" i="29"/>
  <c r="H28" i="29"/>
  <c r="G29" i="29"/>
  <c r="H29" i="29"/>
  <c r="G30" i="29"/>
  <c r="H30" i="29"/>
  <c r="H3" i="29"/>
  <c r="G3" i="29"/>
  <c r="G4" i="32" l="1"/>
  <c r="H4" i="32"/>
  <c r="G5" i="32"/>
  <c r="H5" i="32"/>
  <c r="G6" i="32"/>
  <c r="H6" i="32"/>
  <c r="G7" i="32"/>
  <c r="H7" i="32"/>
  <c r="G8" i="32"/>
  <c r="H8" i="32"/>
  <c r="G9" i="32"/>
  <c r="H9" i="32"/>
  <c r="G10" i="32"/>
  <c r="H10" i="32"/>
  <c r="G11" i="32"/>
  <c r="H11" i="32"/>
  <c r="G12" i="32"/>
  <c r="H12" i="32"/>
  <c r="G13" i="32"/>
  <c r="H13" i="32"/>
  <c r="G14" i="32"/>
  <c r="H14" i="32"/>
  <c r="G15" i="32"/>
  <c r="H15" i="32"/>
  <c r="G16" i="32"/>
  <c r="H16" i="32"/>
  <c r="H3" i="32"/>
  <c r="G3" i="32"/>
  <c r="B17" i="29" l="1"/>
  <c r="B24" i="29"/>
  <c r="B23" i="29"/>
  <c r="B22" i="29"/>
  <c r="B48" i="29"/>
  <c r="B47" i="29"/>
  <c r="B46" i="29"/>
  <c r="B45" i="29"/>
  <c r="B17" i="32" l="1"/>
  <c r="B25" i="29"/>
  <c r="B20" i="29"/>
  <c r="B21" i="29" l="1"/>
  <c r="CE38" i="30" l="1"/>
  <c r="CD38" i="30"/>
  <c r="CC38" i="30"/>
  <c r="CB38" i="30"/>
  <c r="CA38" i="30"/>
  <c r="BZ38" i="30"/>
  <c r="BY38" i="30"/>
  <c r="BX38" i="30"/>
  <c r="BW38" i="30"/>
  <c r="BV38" i="30"/>
  <c r="BU38" i="30"/>
  <c r="BT38" i="30"/>
  <c r="X38" i="30"/>
  <c r="N38" i="30"/>
  <c r="K38" i="30"/>
  <c r="C38" i="30"/>
  <c r="B38" i="30"/>
  <c r="CE37" i="30"/>
  <c r="CD37" i="30"/>
  <c r="CC37" i="30"/>
  <c r="CB37" i="30"/>
  <c r="CA37" i="30"/>
  <c r="BZ37" i="30"/>
  <c r="BY37" i="30"/>
  <c r="BX37" i="30"/>
  <c r="BW37" i="30"/>
  <c r="BV37" i="30"/>
  <c r="BU37" i="30"/>
  <c r="BT37" i="30"/>
  <c r="AN37" i="30"/>
  <c r="BS37" i="30"/>
  <c r="AC37" i="30"/>
  <c r="X37" i="30"/>
  <c r="BR37" i="30"/>
  <c r="N37" i="30"/>
  <c r="K37" i="30"/>
  <c r="C37" i="30"/>
  <c r="B37" i="30"/>
  <c r="CE36" i="30"/>
  <c r="CD36" i="30"/>
  <c r="CC36" i="30"/>
  <c r="CB36" i="30"/>
  <c r="CA36" i="30"/>
  <c r="BZ36" i="30"/>
  <c r="BY36" i="30"/>
  <c r="BX36" i="30"/>
  <c r="BW36" i="30"/>
  <c r="BV36" i="30"/>
  <c r="BU36" i="30"/>
  <c r="BT36" i="30"/>
  <c r="X36" i="30"/>
  <c r="N36" i="30"/>
  <c r="K36" i="30"/>
  <c r="C36" i="30"/>
  <c r="B36" i="30"/>
  <c r="A35" i="30"/>
  <c r="AO33" i="30"/>
  <c r="AN33" i="30"/>
  <c r="AM33" i="30"/>
  <c r="AL33" i="30"/>
  <c r="AK33" i="30"/>
  <c r="AJ33" i="30"/>
  <c r="AI33" i="30"/>
  <c r="AH33" i="30"/>
  <c r="AG33" i="30"/>
  <c r="AF33" i="30"/>
  <c r="AE33" i="30"/>
  <c r="AD33" i="30"/>
  <c r="AC33" i="30"/>
  <c r="Q33" i="30"/>
  <c r="P33" i="30"/>
  <c r="O33" i="30"/>
  <c r="N33" i="30"/>
  <c r="M33" i="30"/>
  <c r="C33" i="30"/>
  <c r="B33" i="30"/>
  <c r="A32" i="30"/>
  <c r="FH30" i="30"/>
  <c r="FG30" i="30"/>
  <c r="FF30" i="30"/>
  <c r="FE30" i="30"/>
  <c r="FD30" i="30"/>
  <c r="FC30" i="30"/>
  <c r="FB30" i="30"/>
  <c r="EV30" i="30"/>
  <c r="DO30" i="30"/>
  <c r="CR30" i="30"/>
  <c r="EY30" i="30"/>
  <c r="BU30" i="30"/>
  <c r="EX30" i="30"/>
  <c r="C30" i="30"/>
  <c r="B30" i="30"/>
  <c r="A29" i="30"/>
  <c r="DE27" i="30"/>
  <c r="DD27" i="30"/>
  <c r="DC27" i="30"/>
  <c r="DB27" i="30"/>
  <c r="DA27" i="30"/>
  <c r="CZ27" i="30"/>
  <c r="CY27" i="30"/>
  <c r="CX27" i="30"/>
  <c r="CW27" i="30"/>
  <c r="CV27" i="30"/>
  <c r="CU27" i="30"/>
  <c r="CA27" i="30"/>
  <c r="BF27" i="30"/>
  <c r="U27" i="30"/>
  <c r="I27" i="30"/>
  <c r="C27" i="30"/>
  <c r="B27" i="30"/>
  <c r="A26" i="30"/>
  <c r="AN24" i="30"/>
  <c r="AM24" i="30"/>
  <c r="AL24" i="30"/>
  <c r="AK24" i="30"/>
  <c r="AJ24" i="30"/>
  <c r="AI24" i="30"/>
  <c r="AH24" i="30"/>
  <c r="AG24" i="30"/>
  <c r="AF24" i="30"/>
  <c r="AE24" i="30"/>
  <c r="AD24" i="30"/>
  <c r="AC24" i="30"/>
  <c r="AB24" i="30"/>
  <c r="W24" i="30"/>
  <c r="Q24" i="30"/>
  <c r="P24" i="30"/>
  <c r="O24" i="30"/>
  <c r="E24" i="30"/>
  <c r="D24" i="30"/>
  <c r="B24" i="30"/>
  <c r="A23" i="30"/>
  <c r="BZ21" i="30"/>
  <c r="BY21" i="30"/>
  <c r="BX21" i="30"/>
  <c r="BW21" i="30"/>
  <c r="BV21" i="30"/>
  <c r="BU21" i="30"/>
  <c r="BT21" i="30"/>
  <c r="BS21" i="30"/>
  <c r="BR21" i="30"/>
  <c r="BQ21" i="30"/>
  <c r="BP21" i="30"/>
  <c r="BO21" i="30"/>
  <c r="Z21" i="30"/>
  <c r="P21" i="30"/>
  <c r="M21" i="30"/>
  <c r="E21" i="30"/>
  <c r="D21" i="30"/>
  <c r="B21" i="30"/>
  <c r="BZ20" i="30"/>
  <c r="BY20" i="30"/>
  <c r="BX20" i="30"/>
  <c r="BW20" i="30"/>
  <c r="BV20" i="30"/>
  <c r="BU20" i="30"/>
  <c r="BT20" i="30"/>
  <c r="BS20" i="30"/>
  <c r="BR20" i="30"/>
  <c r="BQ20" i="30"/>
  <c r="BP20" i="30"/>
  <c r="BO20" i="30"/>
  <c r="AM20" i="30"/>
  <c r="BN20" i="30"/>
  <c r="AE20" i="30"/>
  <c r="Z20" i="30"/>
  <c r="BM20" i="30"/>
  <c r="P20" i="30"/>
  <c r="M20" i="30"/>
  <c r="E20" i="30"/>
  <c r="D20" i="30"/>
  <c r="B20" i="30"/>
  <c r="BZ19" i="30"/>
  <c r="BY19" i="30"/>
  <c r="BX19" i="30"/>
  <c r="BW19" i="30"/>
  <c r="BV19" i="30"/>
  <c r="BU19" i="30"/>
  <c r="BT19" i="30"/>
  <c r="BS19" i="30"/>
  <c r="BR19" i="30"/>
  <c r="BQ19" i="30"/>
  <c r="BP19" i="30"/>
  <c r="BO19" i="30"/>
  <c r="Z19" i="30"/>
  <c r="P19" i="30"/>
  <c r="M19" i="30"/>
  <c r="E19" i="30"/>
  <c r="D19" i="30"/>
  <c r="B19" i="30"/>
  <c r="A18" i="30"/>
  <c r="GB16" i="30"/>
  <c r="GA16" i="30"/>
  <c r="FZ16" i="30"/>
  <c r="FY16" i="30"/>
  <c r="FX16" i="30"/>
  <c r="FV16" i="30"/>
  <c r="FU16" i="30"/>
  <c r="FS16" i="30"/>
  <c r="FP16" i="30"/>
  <c r="EY16" i="30"/>
  <c r="FW16" i="30"/>
  <c r="DZ16" i="30"/>
  <c r="CV16" i="30"/>
  <c r="FT16" i="30"/>
  <c r="BT16" i="30"/>
  <c r="BS16" i="30"/>
  <c r="BM16" i="30"/>
  <c r="E16" i="30"/>
  <c r="D16" i="30"/>
  <c r="B16" i="30"/>
  <c r="A15" i="30"/>
  <c r="BI13" i="30"/>
  <c r="BH13" i="30"/>
  <c r="BG13" i="30"/>
  <c r="BF13" i="30"/>
  <c r="BE13" i="30"/>
  <c r="BD13" i="30"/>
  <c r="BC13" i="30"/>
  <c r="BB13" i="30"/>
  <c r="BA13" i="30"/>
  <c r="AZ13" i="30"/>
  <c r="AY13" i="30"/>
  <c r="AX13" i="30"/>
  <c r="AV13" i="30"/>
  <c r="AO13" i="30"/>
  <c r="AW13" i="30"/>
  <c r="P13" i="30"/>
  <c r="F13" i="30"/>
  <c r="B13" i="30"/>
  <c r="A12" i="30"/>
  <c r="C4" i="30"/>
  <c r="DX30" i="30"/>
  <c r="FA30" i="30"/>
  <c r="C3" i="30"/>
  <c r="K16" i="30"/>
  <c r="AC36" i="30"/>
  <c r="BR36" i="30"/>
  <c r="C6" i="30"/>
  <c r="L13" i="30"/>
  <c r="AE19" i="30"/>
  <c r="BM19" i="30"/>
  <c r="BI30" i="30"/>
  <c r="DB30" i="30"/>
  <c r="EZ30" i="30"/>
  <c r="AN36" i="30"/>
  <c r="BS36" i="30"/>
  <c r="N13" i="30"/>
  <c r="BH16" i="30"/>
  <c r="FQ16" i="30"/>
  <c r="AM19" i="30"/>
  <c r="BN19" i="30"/>
  <c r="AK27" i="30"/>
  <c r="CS27" i="30"/>
  <c r="BJ30" i="30"/>
  <c r="K30" i="30"/>
  <c r="EW30" i="30"/>
  <c r="AN38" i="30"/>
  <c r="BS38" i="30"/>
  <c r="S33" i="30"/>
  <c r="R24" i="30"/>
  <c r="AE21" i="30"/>
  <c r="BM21" i="30"/>
  <c r="BV16" i="30"/>
  <c r="AC38" i="30"/>
  <c r="BR38" i="30"/>
  <c r="R33" i="30"/>
  <c r="AB33" i="30"/>
  <c r="BU16" i="30"/>
  <c r="V24" i="30"/>
  <c r="AM21" i="30"/>
  <c r="BN21" i="30"/>
  <c r="AA24" i="30"/>
  <c r="FR16" i="30"/>
  <c r="A1" i="30" l="1"/>
  <c r="A2" i="30"/>
  <c r="A6" i="30"/>
  <c r="A3" i="30"/>
  <c r="A4" i="30"/>
  <c r="A5" i="30"/>
  <c r="A7" i="30"/>
  <c r="A8" i="30"/>
  <c r="J3" i="30"/>
  <c r="J4" i="30"/>
  <c r="J8" i="30"/>
  <c r="J6" i="30"/>
  <c r="J7" i="30"/>
  <c r="J5" i="30"/>
  <c r="J2" i="30"/>
  <c r="J1" i="30"/>
  <c r="F19" i="30"/>
  <c r="AY27" i="30"/>
  <c r="CT27" i="30" s="1"/>
  <c r="V27" i="30"/>
  <c r="CR27" i="30" s="1"/>
  <c r="C21" i="30"/>
  <c r="D36" i="30"/>
  <c r="BQ36" i="30" s="1"/>
  <c r="BP36" i="30" s="1"/>
  <c r="A36" i="30" s="1"/>
  <c r="D37" i="30"/>
  <c r="BQ37" i="30" s="1"/>
  <c r="BP37" i="30" s="1"/>
  <c r="A37" i="30" s="1"/>
  <c r="C16" i="30"/>
  <c r="F20" i="30"/>
  <c r="A11" i="30"/>
  <c r="D38" i="30"/>
  <c r="BQ38" i="30" s="1"/>
  <c r="BP38" i="30" s="1"/>
  <c r="A38" i="30" s="1"/>
  <c r="V30" i="30"/>
  <c r="EU30" i="30" s="1"/>
  <c r="C19" i="30"/>
  <c r="F21" i="30"/>
  <c r="F24" i="30"/>
  <c r="C13" i="30"/>
  <c r="AU13" i="30" s="1"/>
  <c r="AT13" i="30" s="1"/>
  <c r="A13" i="30" s="1"/>
  <c r="D27" i="30"/>
  <c r="CQ27" i="30" s="1"/>
  <c r="D33" i="30"/>
  <c r="AA33" i="30" s="1"/>
  <c r="Z33" i="30" s="1"/>
  <c r="A33" i="30" s="1"/>
  <c r="F16" i="30"/>
  <c r="W16" i="30"/>
  <c r="FO16" i="30" s="1"/>
  <c r="D30" i="30"/>
  <c r="ET30" i="30" s="1"/>
  <c r="C24" i="30"/>
  <c r="C20" i="30"/>
  <c r="ES30" i="30" l="1"/>
  <c r="A30" i="30" s="1"/>
  <c r="Z24" i="30"/>
  <c r="Y24" i="30" s="1"/>
  <c r="A24" i="30" s="1"/>
  <c r="BL19" i="30"/>
  <c r="BK19" i="30" s="1"/>
  <c r="A19" i="30" s="1"/>
  <c r="CP27" i="30"/>
  <c r="A27" i="30" s="1"/>
  <c r="BL20" i="30"/>
  <c r="BK20" i="30" s="1"/>
  <c r="A20" i="30" s="1"/>
  <c r="FN16" i="30"/>
  <c r="FM16" i="30" s="1"/>
  <c r="A16" i="30" s="1"/>
  <c r="BL21" i="30"/>
  <c r="BK21" i="30" s="1"/>
  <c r="A21" i="30" s="1"/>
</calcChain>
</file>

<file path=xl/sharedStrings.xml><?xml version="1.0" encoding="utf-8"?>
<sst xmlns="http://schemas.openxmlformats.org/spreadsheetml/2006/main" count="1615" uniqueCount="592">
  <si>
    <t>Y</t>
  </si>
  <si>
    <t>説明など</t>
    <rPh sb="0" eb="2">
      <t>セツメイ</t>
    </rPh>
    <phoneticPr fontId="2"/>
  </si>
  <si>
    <t>＊＊C列に実行したSQLを１行で記述＊＊</t>
    <rPh sb="3" eb="4">
      <t>レツ</t>
    </rPh>
    <rPh sb="5" eb="7">
      <t>ジッコウ</t>
    </rPh>
    <rPh sb="14" eb="15">
      <t>ギョウ</t>
    </rPh>
    <rPh sb="16" eb="18">
      <t>キジュツ</t>
    </rPh>
    <phoneticPr fontId="2"/>
  </si>
  <si>
    <t>REMでｽｷｯﾌﾟ</t>
    <phoneticPr fontId="2"/>
  </si>
  <si>
    <t>REM</t>
    <phoneticPr fontId="2"/>
  </si>
  <si>
    <t>DBVendor</t>
    <phoneticPr fontId="2"/>
  </si>
  <si>
    <t>DBVendor</t>
    <phoneticPr fontId="2"/>
  </si>
  <si>
    <t>------------</t>
    <phoneticPr fontId="2"/>
  </si>
  <si>
    <t>Oracle</t>
    <phoneticPr fontId="2"/>
  </si>
  <si>
    <t>IBM</t>
    <phoneticPr fontId="2"/>
  </si>
  <si>
    <t>ﾕｰｻﾞｰID</t>
    <phoneticPr fontId="2"/>
  </si>
  <si>
    <t>ﾊﾟｽﾜｰﾄﾞ</t>
    <phoneticPr fontId="2"/>
  </si>
  <si>
    <t>ｽｷｰﾏ</t>
    <phoneticPr fontId="2"/>
  </si>
  <si>
    <t>DB名</t>
    <rPh sb="2" eb="3">
      <t>メイ</t>
    </rPh>
    <phoneticPr fontId="2"/>
  </si>
  <si>
    <t>Field名出力</t>
    <rPh sb="5" eb="6">
      <t>メイ</t>
    </rPh>
    <rPh sb="6" eb="8">
      <t>シュツリョク</t>
    </rPh>
    <phoneticPr fontId="2"/>
  </si>
  <si>
    <t>Label出力</t>
    <phoneticPr fontId="2"/>
  </si>
  <si>
    <t>フィールド名</t>
    <rPh sb="5" eb="6">
      <t>メイ</t>
    </rPh>
    <phoneticPr fontId="2"/>
  </si>
  <si>
    <t>ラベル名</t>
    <rPh sb="3" eb="4">
      <t>メイ</t>
    </rPh>
    <phoneticPr fontId="2"/>
  </si>
  <si>
    <t>データ</t>
    <phoneticPr fontId="2"/>
  </si>
  <si>
    <t>↓出力書式</t>
    <rPh sb="1" eb="3">
      <t>シュツリョク</t>
    </rPh>
    <rPh sb="3" eb="5">
      <t>ショシキ</t>
    </rPh>
    <phoneticPr fontId="2"/>
  </si>
  <si>
    <t>DB</t>
    <phoneticPr fontId="2"/>
  </si>
  <si>
    <t>とりあえず60行目までを対象とします</t>
    <phoneticPr fontId="2"/>
  </si>
  <si>
    <t>実行SQL出力</t>
    <rPh sb="0" eb="2">
      <t>ジッコウ</t>
    </rPh>
    <rPh sb="5" eb="7">
      <t>シュツリョク</t>
    </rPh>
    <phoneticPr fontId="2"/>
  </si>
  <si>
    <t>Y</t>
    <phoneticPr fontId="2"/>
  </si>
  <si>
    <t>N</t>
    <phoneticPr fontId="2"/>
  </si>
  <si>
    <t>FLG</t>
    <phoneticPr fontId="2"/>
  </si>
  <si>
    <t>型出力</t>
    <rPh sb="0" eb="1">
      <t>カタ</t>
    </rPh>
    <rPh sb="1" eb="3">
      <t>シュツリョク</t>
    </rPh>
    <phoneticPr fontId="2"/>
  </si>
  <si>
    <t>VALUES出力</t>
    <rPh sb="6" eb="8">
      <t>シュツリョク</t>
    </rPh>
    <phoneticPr fontId="2"/>
  </si>
  <si>
    <t>型出力Yが前提</t>
    <rPh sb="5" eb="7">
      <t>ゼンテイ</t>
    </rPh>
    <phoneticPr fontId="2"/>
  </si>
  <si>
    <t>型</t>
    <rPh sb="0" eb="1">
      <t>カタ</t>
    </rPh>
    <phoneticPr fontId="2"/>
  </si>
  <si>
    <t>REM</t>
    <phoneticPr fontId="2"/>
  </si>
  <si>
    <t>EP853RDV</t>
    <phoneticPr fontId="2"/>
  </si>
  <si>
    <t>EP853JDV</t>
  </si>
  <si>
    <t>DRAFT_BU</t>
  </si>
  <si>
    <t>DRAFT_ID</t>
  </si>
  <si>
    <t>BUSINESS_UNIT</t>
  </si>
  <si>
    <t>CUST_ID</t>
  </si>
  <si>
    <t>SUBCUST_QUAL1</t>
  </si>
  <si>
    <t>SUBCUST_QUAL2</t>
  </si>
  <si>
    <t>DRAFT_TYPE</t>
  </si>
  <si>
    <t>ﾋﾞｼﾞﾈｽ ﾕﾆｯﾄ</t>
  </si>
  <si>
    <t>顧客 ID</t>
  </si>
  <si>
    <t>KGJPN</t>
  </si>
  <si>
    <t xml:space="preserve"> </t>
  </si>
  <si>
    <t>),</t>
  </si>
  <si>
    <t>PO_REF</t>
  </si>
  <si>
    <t>ITEM</t>
  </si>
  <si>
    <t>ITEM_LINE</t>
  </si>
  <si>
    <t>DOCUMENT</t>
  </si>
  <si>
    <t>ENTRY_TYPE</t>
  </si>
  <si>
    <t>ENTRY_REASON</t>
  </si>
  <si>
    <t>ENTRY_USE_ID</t>
  </si>
  <si>
    <t>ENTRY_EVENT</t>
  </si>
  <si>
    <t>DST_ID_AR</t>
  </si>
  <si>
    <t>USER_AMT1</t>
  </si>
  <si>
    <t>USER_AMT2</t>
  </si>
  <si>
    <t>REAL_GAIN_LOSS</t>
  </si>
  <si>
    <t>BAL_CURRENCY</t>
  </si>
  <si>
    <t>CURRENCY_CD</t>
  </si>
  <si>
    <t>DST_ID_REAL</t>
  </si>
  <si>
    <t>RT_TYPE</t>
  </si>
  <si>
    <t>RATE_MULT</t>
  </si>
  <si>
    <t>RATE_DIV</t>
  </si>
  <si>
    <t>PROCESS_INSTANCE</t>
  </si>
  <si>
    <t>ｱｲﾃﾑ ID</t>
  </si>
  <si>
    <t>N</t>
  </si>
  <si>
    <t>ITEM_STATUS</t>
  </si>
  <si>
    <t>REF_REASON</t>
  </si>
  <si>
    <t>ACCOUNTING_DT</t>
  </si>
  <si>
    <t>ASOF_DT</t>
  </si>
  <si>
    <t>POST_DT</t>
  </si>
  <si>
    <t>DUE_DT</t>
  </si>
  <si>
    <t>CR_ANALYST</t>
  </si>
  <si>
    <t>SALES_PERSON</t>
  </si>
  <si>
    <t>COLLECTOR</t>
  </si>
  <si>
    <t>DISPUTE_STATUS</t>
  </si>
  <si>
    <t>DISPUTE_DT</t>
  </si>
  <si>
    <t>DISPUTE_AMOUNT</t>
  </si>
  <si>
    <t>PO_LINE</t>
  </si>
  <si>
    <t>DOCUMENT_LINE</t>
  </si>
  <si>
    <t>PYMNT_TERMS_CD</t>
  </si>
  <si>
    <t>DISC_AMT</t>
  </si>
  <si>
    <t>DISC_AMT1</t>
  </si>
  <si>
    <t>DISC_DT</t>
  </si>
  <si>
    <t>DISC_DT1</t>
  </si>
  <si>
    <t>DISC_LEVEL</t>
  </si>
  <si>
    <t>DISC_DAYS</t>
  </si>
  <si>
    <t>DUE_DAYS</t>
  </si>
  <si>
    <t>ALLOW_DISC</t>
  </si>
  <si>
    <t>AGING_CATEGORY</t>
  </si>
  <si>
    <t>HIST_STATUS</t>
  </si>
  <si>
    <t>DUN_DT</t>
  </si>
  <si>
    <t>DUN_SEQ_NUM</t>
  </si>
  <si>
    <t>ST_DT</t>
  </si>
  <si>
    <t>FC_DT</t>
  </si>
  <si>
    <t>FC_AMT</t>
  </si>
  <si>
    <t>OC_ADMIN_DT</t>
  </si>
  <si>
    <t>OC_ADMIN_AMT</t>
  </si>
  <si>
    <t>OC_PNLTY_DT</t>
  </si>
  <si>
    <t>OC_PNLTY_AMT</t>
  </si>
  <si>
    <t>OVERDUE_CHG_LINE</t>
  </si>
  <si>
    <t>ITEM_LINE_ORIG</t>
  </si>
  <si>
    <t>UPDATE_STATUS</t>
  </si>
  <si>
    <t>COLLECTION_STATUS</t>
  </si>
  <si>
    <t>COLLECTION_DT</t>
  </si>
  <si>
    <t>ITEM_SEQ_NUM</t>
  </si>
  <si>
    <t>BILL_OF_LADING</t>
  </si>
  <si>
    <t>SUBCUST_STATUS</t>
  </si>
  <si>
    <t>BAL_AMT_BASE</t>
  </si>
  <si>
    <t>BAL_AMT_LAST</t>
  </si>
  <si>
    <t>VAT_DCLRTN_POINT</t>
  </si>
  <si>
    <t>VAT_RECALC_FLG</t>
  </si>
  <si>
    <t>COUNTRY_VAT_BILLFR</t>
  </si>
  <si>
    <t>COUNTRY_VAT_BILLTO</t>
  </si>
  <si>
    <t>COUNTRY_SHIP_TO</t>
  </si>
  <si>
    <t>COUNTRY_SHIP_FROM</t>
  </si>
  <si>
    <t>VAT_TREATMENT_SAL</t>
  </si>
  <si>
    <t>VAT_CALC_GROSS_NET</t>
  </si>
  <si>
    <t>VAT_ENTITY</t>
  </si>
  <si>
    <t>VAT_EXCPTN_TYPE</t>
  </si>
  <si>
    <t>VAT_EXCPTN_CERTIF</t>
  </si>
  <si>
    <t>VAT_RGSTRN_BUYER</t>
  </si>
  <si>
    <t>VAT_ROUND_RULE</t>
  </si>
  <si>
    <t>ORDER_NO</t>
  </si>
  <si>
    <t>CONTRACT_NUM</t>
  </si>
  <si>
    <t>BUSINESS_UNIT_BI</t>
  </si>
  <si>
    <t>BUSINESS_UNIT_OM</t>
  </si>
  <si>
    <t>ADDRESS_SEQ_NUM</t>
  </si>
  <si>
    <t>LETTER_CD</t>
  </si>
  <si>
    <t>TRAN_FROM_BU</t>
  </si>
  <si>
    <t>TRAN_FROM_CUSTID</t>
  </si>
  <si>
    <t>CONSOL_BUS_UNIT</t>
  </si>
  <si>
    <t>CONSOL_INVOICE</t>
  </si>
  <si>
    <t>PAYMENT_METHOD</t>
  </si>
  <si>
    <t>DRAFT_APPROVAL</t>
  </si>
  <si>
    <t>DRAFT_DOC</t>
  </si>
  <si>
    <t>DRAFT_CURRENCY</t>
  </si>
  <si>
    <t>DRAFT_FORMAT</t>
  </si>
  <si>
    <t>DRAFT_STATUS</t>
  </si>
  <si>
    <t>BANK_SETID</t>
  </si>
  <si>
    <t>BANK_CD</t>
  </si>
  <si>
    <t>BANK_ACCT_KEY</t>
  </si>
  <si>
    <t>DD_BU</t>
  </si>
  <si>
    <t>DD_ID</t>
  </si>
  <si>
    <t>DD_CURRENCY</t>
  </si>
  <si>
    <t>DD_STATUS</t>
  </si>
  <si>
    <t>DD_PROFILE_ID</t>
  </si>
  <si>
    <t>USER_AMT3</t>
  </si>
  <si>
    <t>USER_AMT4</t>
  </si>
  <si>
    <t>USER_AMT5</t>
  </si>
  <si>
    <t>USER_AMT6</t>
  </si>
  <si>
    <t>USER_AMT7</t>
  </si>
  <si>
    <t>USER_AMT8</t>
  </si>
  <si>
    <t>USER_DT1</t>
  </si>
  <si>
    <t>USER_DT2</t>
  </si>
  <si>
    <t>USER_DT3</t>
  </si>
  <si>
    <t>USER_DT4</t>
  </si>
  <si>
    <t>USER1</t>
  </si>
  <si>
    <t>USER2</t>
  </si>
  <si>
    <t>USER3</t>
  </si>
  <si>
    <t>USER4</t>
  </si>
  <si>
    <t>USER5</t>
  </si>
  <si>
    <t>USER6</t>
  </si>
  <si>
    <t>USER7</t>
  </si>
  <si>
    <t>USER8</t>
  </si>
  <si>
    <t>USER9</t>
  </si>
  <si>
    <t>USER10</t>
  </si>
  <si>
    <t>ORIG_ITEM_AMT</t>
  </si>
  <si>
    <t>LAST_ACTIVITY_DT</t>
  </si>
  <si>
    <t>ST_ID_NUM</t>
  </si>
  <si>
    <t>DOUBTFUL</t>
  </si>
  <si>
    <t>DRAFT_BUSN_EVENT</t>
  </si>
  <si>
    <t>DRAFT_SUB_EVENT</t>
  </si>
  <si>
    <t>SALES_PERSON2</t>
  </si>
  <si>
    <t>REGION_CD</t>
  </si>
  <si>
    <t>REVALUE_FLAG</t>
  </si>
  <si>
    <t>BUSINESS_UNIT_PC</t>
  </si>
  <si>
    <t>PROJECT_ID</t>
  </si>
  <si>
    <t>ACTIVITY_ID</t>
  </si>
  <si>
    <t>PACKSLIP_NO</t>
  </si>
  <si>
    <t>SBI_NUM</t>
  </si>
  <si>
    <t>LC_ID</t>
  </si>
  <si>
    <t>NETTING_SW</t>
  </si>
  <si>
    <t>NET_REF_ID</t>
  </si>
  <si>
    <t>RECEIVABLE_TYPE</t>
  </si>
  <si>
    <t>ENTITY_CODE</t>
  </si>
  <si>
    <t>PPRC_PROMO_CD</t>
  </si>
  <si>
    <t>DM_CLAIM_NO</t>
  </si>
  <si>
    <t>C</t>
  </si>
  <si>
    <t>CDDR</t>
  </si>
  <si>
    <t>AAA</t>
  </si>
  <si>
    <t>0</t>
  </si>
  <si>
    <t>ARMDS</t>
  </si>
  <si>
    <t>JPY</t>
  </si>
  <si>
    <t>APTTM</t>
  </si>
  <si>
    <t>IT-01</t>
  </si>
  <si>
    <t>I</t>
  </si>
  <si>
    <t>JPN</t>
  </si>
  <si>
    <t>CHK</t>
  </si>
  <si>
    <t>0005</t>
  </si>
  <si>
    <t>0018</t>
  </si>
  <si>
    <t>S</t>
  </si>
  <si>
    <t>ENTRY_AMT</t>
  </si>
  <si>
    <t>DEPOSIT_BU</t>
  </si>
  <si>
    <t>DEPOSIT_ID</t>
  </si>
  <si>
    <t>PAYMENT_SEQ_NUM</t>
  </si>
  <si>
    <t>GROUP_BU</t>
  </si>
  <si>
    <t>GROUP_ID</t>
  </si>
  <si>
    <t>GROUP_SEQ_NUM</t>
  </si>
  <si>
    <t>ENTRY_CURRENCY</t>
  </si>
  <si>
    <t>PAYMENT_AMT</t>
  </si>
  <si>
    <t>PAYMENT_CURRENCY</t>
  </si>
  <si>
    <t>PYMT_RT_TYPE</t>
  </si>
  <si>
    <t>PYMT_RATE_MULT</t>
  </si>
  <si>
    <t>PYMT_RATE_DIV</t>
  </si>
  <si>
    <t>ENTRY_AMT_BASE</t>
  </si>
  <si>
    <t>ORIGIN_ID</t>
  </si>
  <si>
    <t>PAYMENT_ID</t>
  </si>
  <si>
    <t>GROUP_TYPE</t>
  </si>
  <si>
    <t>VOUCHER_ID</t>
  </si>
  <si>
    <t>SENT_TO_AP</t>
  </si>
  <si>
    <t>POSTED_PI</t>
  </si>
  <si>
    <t>ARRE_STATUS</t>
  </si>
  <si>
    <t>VAT_ADVPAY_FLG</t>
  </si>
  <si>
    <t>UNPOST_REASON</t>
  </si>
  <si>
    <t>DM_EXTRACT</t>
  </si>
  <si>
    <t>PC_DISTRIB_STATUS</t>
  </si>
  <si>
    <t>WS_REASON</t>
  </si>
  <si>
    <t>基本通貨金額</t>
  </si>
  <si>
    <t>PSCD1</t>
  </si>
  <si>
    <t>B</t>
  </si>
  <si>
    <t>D</t>
  </si>
  <si>
    <t>VAT_APPLICABILITY</t>
  </si>
  <si>
    <t>VAT_TXN_TYPE_CD</t>
  </si>
  <si>
    <t>TAX_CD_VAT</t>
  </si>
  <si>
    <t>VAT_DST_ACCT_TYPE</t>
  </si>
  <si>
    <t>TAX_CD_VAT_PCT</t>
  </si>
  <si>
    <t>VAT_DCLRTN_DT</t>
  </si>
  <si>
    <t>VAT_BASIS_AMT</t>
  </si>
  <si>
    <t>VAT_BASIS_AMT_BASE</t>
  </si>
  <si>
    <t>VAT_TRANS_AMT</t>
  </si>
  <si>
    <t>VAT_TRANS_AMT_BSE</t>
  </si>
  <si>
    <t>VAT_AMT</t>
  </si>
  <si>
    <t>VAT_AMT_BASE</t>
  </si>
  <si>
    <t>VAT_AMT_I</t>
  </si>
  <si>
    <t>VAT_AMT_BASE_I</t>
  </si>
  <si>
    <t>VAT_ERROR_FLAG</t>
  </si>
  <si>
    <t>VAT_DISTRIB_STATUS</t>
  </si>
  <si>
    <t>T</t>
  </si>
  <si>
    <t>SK</t>
  </si>
  <si>
    <t>KGT08</t>
  </si>
  <si>
    <t>VO</t>
  </si>
  <si>
    <t>LEDGER_GROUP</t>
  </si>
  <si>
    <t>LEDGER</t>
  </si>
  <si>
    <t>DST_SEQ_NUM</t>
  </si>
  <si>
    <t>PRIMARY_LEDGER</t>
  </si>
  <si>
    <t>BUSINESS_UNIT_GL</t>
  </si>
  <si>
    <t>ACCOUNT</t>
  </si>
  <si>
    <t>ALTACCT</t>
  </si>
  <si>
    <t>DEPTID</t>
  </si>
  <si>
    <t>OPERATING_UNIT</t>
  </si>
  <si>
    <t>PRODUCT</t>
  </si>
  <si>
    <t>FUND_CODE</t>
  </si>
  <si>
    <t>CLASS_FLD</t>
  </si>
  <si>
    <t>PROGRAM_CODE</t>
  </si>
  <si>
    <t>BUDGET_REF</t>
  </si>
  <si>
    <t>AFFILIATE</t>
  </si>
  <si>
    <t>AFFILIATE_INTRA1</t>
  </si>
  <si>
    <t>AFFILIATE_INTRA2</t>
  </si>
  <si>
    <t>CHARTFIELD1</t>
  </si>
  <si>
    <t>CHARTFIELD2</t>
  </si>
  <si>
    <t>CHARTFIELD3</t>
  </si>
  <si>
    <t>STATISTICS_CODE</t>
  </si>
  <si>
    <t>MONETARY_AMOUNT</t>
  </si>
  <si>
    <t>STATISTIC_AMOUNT</t>
  </si>
  <si>
    <t>JRNL_LN_REF</t>
  </si>
  <si>
    <t>LINE_DESCR</t>
  </si>
  <si>
    <t>JOURNAL_ID</t>
  </si>
  <si>
    <t>JOURNAL_DATE</t>
  </si>
  <si>
    <t>GL_DISTRIB_STATUS</t>
  </si>
  <si>
    <t>APPL_JRNL_ID</t>
  </si>
  <si>
    <t>FOREIGN_CURRENCY</t>
  </si>
  <si>
    <t>FOREIGN_AMOUNT</t>
  </si>
  <si>
    <t>SYSTEM_DEFINED</t>
  </si>
  <si>
    <t>FISCAL_YEAR</t>
  </si>
  <si>
    <t>ACCOUNTING_PERIOD</t>
  </si>
  <si>
    <t>DOC_TYPE</t>
  </si>
  <si>
    <t>DOC_SEQ_NBR</t>
  </si>
  <si>
    <t>DOC_SEQ_DATE</t>
  </si>
  <si>
    <t>DOC_SEQ_STATUS</t>
  </si>
  <si>
    <t>MOVEMENT_FLAG</t>
  </si>
  <si>
    <t>JOURNAL_LINE</t>
  </si>
  <si>
    <t>GL_ACCTG_DT</t>
  </si>
  <si>
    <t>DEBIT_CREDIT</t>
  </si>
  <si>
    <t>IN_PROCESS_FLG</t>
  </si>
  <si>
    <t>EE_PROC_STATUS</t>
  </si>
  <si>
    <t>顧客ｱｲﾃﾑ配布</t>
  </si>
  <si>
    <t>部門</t>
  </si>
  <si>
    <t>RECORDING</t>
  </si>
  <si>
    <t>AC230020</t>
  </si>
  <si>
    <t>AR_BILLING</t>
  </si>
  <si>
    <t>A</t>
  </si>
  <si>
    <t>U</t>
  </si>
  <si>
    <t>AC700260</t>
  </si>
  <si>
    <t>V</t>
  </si>
  <si>
    <t>OPRID</t>
  </si>
  <si>
    <t>DRAFT_AMT</t>
  </si>
  <si>
    <t>CF_EDIT_STATUS</t>
  </si>
  <si>
    <t>IU_ANCHOR_FLG</t>
  </si>
  <si>
    <t>IU_SYS_TRAN_CD</t>
  </si>
  <si>
    <t>IU_TRAN_CD</t>
  </si>
  <si>
    <t>POSTED_FLAG</t>
  </si>
  <si>
    <t>ERROR_FLAG</t>
  </si>
  <si>
    <t>DST_BAL_ITEM</t>
  </si>
  <si>
    <t>ITEM_ACCTG_DT</t>
  </si>
  <si>
    <t>VAT_DISTRIB_FLG</t>
  </si>
  <si>
    <t>DD_AMT</t>
  </si>
  <si>
    <t>DD_AMT_BASE</t>
  </si>
  <si>
    <t>DRAFT_AMT_BASE</t>
  </si>
  <si>
    <t>AR_SEQ_NUM</t>
  </si>
  <si>
    <t>DRAFT_POST_ACTION</t>
  </si>
  <si>
    <t>CONTROL_AMT</t>
  </si>
  <si>
    <t>CONTROL_AMT_BASE</t>
  </si>
  <si>
    <t>ANCHOR_BU</t>
  </si>
  <si>
    <t>ITM_PAY_AMT_BASE</t>
  </si>
  <si>
    <t>CONTROL_CURRENCY</t>
  </si>
  <si>
    <t>CONTROL_CURR_BASE</t>
  </si>
  <si>
    <t>CONTROL_RATE_MULT</t>
  </si>
  <si>
    <t>CONTROL_RATE_DIV</t>
  </si>
  <si>
    <t>CONTROL_RT_TYPE</t>
  </si>
  <si>
    <t>E</t>
  </si>
  <si>
    <t>PSBATCH</t>
  </si>
  <si>
    <t>ASSN_OPRID</t>
  </si>
  <si>
    <t>BAL_STATUS</t>
  </si>
  <si>
    <t>EDIT_STATUS</t>
  </si>
  <si>
    <t>POST_STATUS</t>
  </si>
  <si>
    <t>POST_ACTION</t>
  </si>
  <si>
    <t>CONTROL_CNT</t>
  </si>
  <si>
    <t>ENTERED_AMT</t>
  </si>
  <si>
    <t>ENTERED_CNT</t>
  </si>
  <si>
    <t>POSTED_TOTAL</t>
  </si>
  <si>
    <t>POSTED_COUNT</t>
  </si>
  <si>
    <t>RECEIVED_DT</t>
  </si>
  <si>
    <t>ENTRY_DT</t>
  </si>
  <si>
    <t>DST_BAL_STATUS</t>
  </si>
  <si>
    <t>GROUP_ID_ORIG</t>
  </si>
  <si>
    <t>FORMAT_CURRENCY</t>
  </si>
  <si>
    <t>ALLOW_DST</t>
  </si>
  <si>
    <t>CREATE_DST_BATCH</t>
  </si>
  <si>
    <t>CASH_CNTRL_USE</t>
  </si>
  <si>
    <t>DOMES</t>
  </si>
  <si>
    <t>AC100030</t>
  </si>
  <si>
    <t>O</t>
  </si>
  <si>
    <t>AR01115975</t>
  </si>
  <si>
    <t>44</t>
  </si>
  <si>
    <t>FB</t>
  </si>
  <si>
    <t>D1246552</t>
  </si>
  <si>
    <t>BL1514</t>
  </si>
  <si>
    <t>基本金額</t>
    <rPh sb="0" eb="2">
      <t>キホン</t>
    </rPh>
    <rPh sb="2" eb="4">
      <t>キンガク</t>
    </rPh>
    <phoneticPr fontId="2"/>
  </si>
  <si>
    <t>);</t>
  </si>
  <si>
    <t>条件マスタ</t>
    <rPh sb="0" eb="2">
      <t>ジョウケン</t>
    </rPh>
    <phoneticPr fontId="2"/>
  </si>
  <si>
    <t>値</t>
    <rPh sb="0" eb="1">
      <t>アタイ</t>
    </rPh>
    <phoneticPr fontId="2"/>
  </si>
  <si>
    <t>備考</t>
    <rPh sb="0" eb="2">
      <t>ビコウ</t>
    </rPh>
    <phoneticPr fontId="2"/>
  </si>
  <si>
    <t>対象ﾃｰﾌﾞﾙ</t>
    <rPh sb="0" eb="2">
      <t>タイショウ</t>
    </rPh>
    <phoneticPr fontId="2"/>
  </si>
  <si>
    <t>条件2</t>
    <rPh sb="0" eb="2">
      <t>ジョウケン</t>
    </rPh>
    <phoneticPr fontId="2"/>
  </si>
  <si>
    <t>条件3</t>
    <rPh sb="0" eb="2">
      <t>ジョウケン</t>
    </rPh>
    <phoneticPr fontId="2"/>
  </si>
  <si>
    <t>条件5</t>
    <rPh sb="0" eb="2">
      <t>ジョウケン</t>
    </rPh>
    <phoneticPr fontId="2"/>
  </si>
  <si>
    <t>即時出荷予定HEAD TBL</t>
  </si>
  <si>
    <t>BU:</t>
  </si>
  <si>
    <t>部門:</t>
    <rPh sb="0" eb="2">
      <t>ブモン</t>
    </rPh>
    <phoneticPr fontId="2"/>
  </si>
  <si>
    <t>出荷予定ID:</t>
  </si>
  <si>
    <t>契約HEADER TBL</t>
  </si>
  <si>
    <t>契約ID:</t>
  </si>
  <si>
    <t>契約BODY TBL</t>
  </si>
  <si>
    <t>契約ﾄﾗﾝｻﾞｸｼｮﾝﾃｰﾌﾞﾙ(HEADER)</t>
  </si>
  <si>
    <t>作業ﾌﾟﾛｼﾞｪｸﾄ</t>
  </si>
  <si>
    <t>ﾌﾟﾛｼﾞｪｸﾄID:</t>
  </si>
  <si>
    <t>出荷予定HEAD TBL</t>
  </si>
  <si>
    <t>出荷予定BODY TBL</t>
  </si>
  <si>
    <t>出荷予定引当 TBL</t>
  </si>
  <si>
    <t>拡張出荷予定HEAD</t>
  </si>
  <si>
    <t>拡張出荷予定BODY</t>
  </si>
  <si>
    <t>入荷予定HEAD TBL</t>
  </si>
  <si>
    <t>入荷予定ID:</t>
  </si>
  <si>
    <t>入荷予定明細BODY TBL</t>
  </si>
  <si>
    <t>入荷予定契約 TBL</t>
  </si>
  <si>
    <t>拡張入荷予定HEAD</t>
  </si>
  <si>
    <t>拡張入荷予定BODY</t>
  </si>
  <si>
    <t>取引台帳ﾍｯﾀﾞｰ</t>
  </si>
  <si>
    <t>管理ID:</t>
  </si>
  <si>
    <t>取引台帳 BODY</t>
  </si>
  <si>
    <t>DEL</t>
    <phoneticPr fontId="2"/>
  </si>
  <si>
    <t>SEL</t>
    <phoneticPr fontId="2"/>
  </si>
  <si>
    <t>条件4</t>
    <rPh sb="0" eb="2">
      <t>ジョウケン</t>
    </rPh>
    <phoneticPr fontId="2"/>
  </si>
  <si>
    <t>必須条件:</t>
    <rPh sb="0" eb="2">
      <t>ヒッス</t>
    </rPh>
    <rPh sb="2" eb="4">
      <t>ジョウケン</t>
    </rPh>
    <phoneticPr fontId="2"/>
  </si>
  <si>
    <t>1</t>
    <phoneticPr fontId="2"/>
  </si>
  <si>
    <t>BU:</t>
    <phoneticPr fontId="2"/>
  </si>
  <si>
    <t>BUSINESS_UNIT</t>
    <phoneticPr fontId="2"/>
  </si>
  <si>
    <t>DEPTID</t>
    <phoneticPr fontId="2"/>
  </si>
  <si>
    <t>出荷予定ID:</t>
    <phoneticPr fontId="2"/>
  </si>
  <si>
    <t>K_CD_SHPPLN_ID</t>
    <phoneticPr fontId="2"/>
  </si>
  <si>
    <t>入荷予定ID:</t>
    <phoneticPr fontId="2"/>
  </si>
  <si>
    <t>K_CD_ARVPLN_ID</t>
    <phoneticPr fontId="2"/>
  </si>
  <si>
    <t>契約ID:</t>
    <phoneticPr fontId="2"/>
  </si>
  <si>
    <t>K_CD_TRD_ID</t>
    <phoneticPr fontId="2"/>
  </si>
  <si>
    <t>管理ID:</t>
    <phoneticPr fontId="2"/>
  </si>
  <si>
    <t>X_CD_TRLDGR_ID</t>
    <phoneticPr fontId="2"/>
  </si>
  <si>
    <t>ﾌﾟﾛｼﾞｪｸﾄID:</t>
    <phoneticPr fontId="2"/>
  </si>
  <si>
    <t>必須条件1</t>
    <rPh sb="0" eb="2">
      <t>ヒッス</t>
    </rPh>
    <rPh sb="2" eb="4">
      <t>ジョウケン</t>
    </rPh>
    <phoneticPr fontId="2"/>
  </si>
  <si>
    <t>条件6</t>
    <rPh sb="0" eb="2">
      <t>ジョウケン</t>
    </rPh>
    <phoneticPr fontId="2"/>
  </si>
  <si>
    <t>条件7</t>
    <rPh sb="0" eb="2">
      <t>ジョウケン</t>
    </rPh>
    <phoneticPr fontId="2"/>
  </si>
  <si>
    <t>条件8</t>
    <rPh sb="0" eb="2">
      <t>ジョウケン</t>
    </rPh>
    <phoneticPr fontId="2"/>
  </si>
  <si>
    <t>条件9</t>
    <rPh sb="0" eb="2">
      <t>ジョウケン</t>
    </rPh>
    <phoneticPr fontId="2"/>
  </si>
  <si>
    <t>条件10</t>
    <rPh sb="0" eb="2">
      <t>ジョウケン</t>
    </rPh>
    <phoneticPr fontId="2"/>
  </si>
  <si>
    <t>1408000</t>
  </si>
  <si>
    <t>消費税金額</t>
    <phoneticPr fontId="2"/>
  </si>
  <si>
    <t>KJ0245</t>
  </si>
  <si>
    <t>ｸﾞﾙｰﾌﾟ ｺﾝﾄﾛｰﾙ情報</t>
    <phoneticPr fontId="2"/>
  </si>
  <si>
    <t>SELECT * FROM PS_GROUP_CONTROL WHERE GROUP_BU='KGJPN' AND GROUP_ID IN (SELECT GROUP_ID FROM PS_PENDING_ITEM WHERE BUSINESS_UNIT='KGJPN' AND CUST_ID = '0010479') WITH UR;</t>
  </si>
  <si>
    <t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t>
  </si>
  <si>
    <t>);</t>
    <phoneticPr fontId="2"/>
  </si>
  <si>
    <t>未転記ｱｲﾃﾑ</t>
    <phoneticPr fontId="2"/>
  </si>
  <si>
    <t>SELECT * FROM PS_PENDING_ITEM WHERE BUSINESS_UNIT='KGJPN' AND CUST_ID = '0010479' WITH UR;</t>
  </si>
  <si>
    <t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t>
  </si>
  <si>
    <t>未転記ｱｲﾃﾑ配布</t>
    <phoneticPr fontId="2"/>
  </si>
  <si>
    <t>SELECT * FROM PS_PENDING_DST WHERE BUSINESS_UNIT='KGJPN' AND CUST_ID = '0010479' WITH UR;</t>
  </si>
  <si>
    <t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t>
  </si>
  <si>
    <t>未転記ｱｲﾃﾑ消費税額</t>
    <phoneticPr fontId="2"/>
  </si>
  <si>
    <t>SELECT * FROM PS_PENDING_VAT WHERE BUSINESS_UNIT='KGJPN' AND CUST_ID = '0010479' WITH UR;</t>
  </si>
  <si>
    <t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t>
  </si>
  <si>
    <t>顧客ｱｲﾃﾑ ｱｸﾃｨﾋﾞﾃｨ</t>
    <phoneticPr fontId="2"/>
  </si>
  <si>
    <t>SELECT * FROM PS_ITEM_ACTIVITY WHERE BUSINESS_UNIT='KGJPN' AND CUST_ID = '0010479' WITH UR;</t>
  </si>
  <si>
    <t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t>
  </si>
  <si>
    <t>顧客ｱｲﾃﾑ</t>
    <phoneticPr fontId="2"/>
  </si>
  <si>
    <t>SELECT * FROM PS_ITEM WHERE BUSINESS_UNIT='KGJPN' AND CUST_ID = '0010479' WITH UR</t>
  </si>
  <si>
    <t>BAL_AMT</t>
    <phoneticPr fontId="2"/>
  </si>
  <si>
    <t>DUE_DT</t>
    <phoneticPr fontId="2"/>
  </si>
  <si>
    <t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t>
  </si>
  <si>
    <t>ｱｲﾃﾑ ｱｸﾃｨﾋﾞﾃｨ-消費税行</t>
    <phoneticPr fontId="2"/>
  </si>
  <si>
    <t>SELECT * FROM PS_ITEM_ACT_VAT WHERE BUSINESS_UNIT='KGJPN' AND CUST_ID = '0010479' WITH UR;</t>
  </si>
  <si>
    <t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t>
  </si>
  <si>
    <t>SELECT * FROM PS_ITEM_DST WHERE BUSINESS_UNIT='KGJPN' AND CUST_ID = '0010479' WITH UR;</t>
  </si>
  <si>
    <t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t>
  </si>
  <si>
    <t>D/OヘッダーTBL</t>
    <phoneticPr fontId="2"/>
  </si>
  <si>
    <t>D/OボディーTBL</t>
    <phoneticPr fontId="2"/>
  </si>
  <si>
    <t>D/O番号:</t>
  </si>
  <si>
    <t>D/O番号:</t>
    <phoneticPr fontId="2"/>
  </si>
  <si>
    <t>K_CD_DO_NO</t>
    <phoneticPr fontId="2"/>
  </si>
  <si>
    <t>出庫確認ヘッダー TBL</t>
    <phoneticPr fontId="2"/>
  </si>
  <si>
    <t>出庫確認ID</t>
  </si>
  <si>
    <t>出庫確認ID</t>
    <phoneticPr fontId="2"/>
  </si>
  <si>
    <t>K_CD_SHPCHK_ID</t>
    <phoneticPr fontId="2"/>
  </si>
  <si>
    <t>出庫確認明細 TBL</t>
    <phoneticPr fontId="2"/>
  </si>
  <si>
    <t>請求書ﾍｯﾀﾞｰTBL</t>
    <phoneticPr fontId="2"/>
  </si>
  <si>
    <t>請求書BodyTBL</t>
    <phoneticPr fontId="2"/>
  </si>
  <si>
    <t>K_CD_SKBIL_ID</t>
    <phoneticPr fontId="2"/>
  </si>
  <si>
    <t>請求書No</t>
  </si>
  <si>
    <t>請求書No</t>
    <phoneticPr fontId="2"/>
  </si>
  <si>
    <t>EP853JSM</t>
    <phoneticPr fontId="2"/>
  </si>
  <si>
    <t>EP853JTS</t>
    <phoneticPr fontId="2"/>
  </si>
  <si>
    <t>EP853JCT</t>
    <phoneticPr fontId="2"/>
  </si>
  <si>
    <t>EP853JPN</t>
    <phoneticPr fontId="2"/>
  </si>
  <si>
    <t>入庫確認ID</t>
    <rPh sb="0" eb="2">
      <t>ニュウコ</t>
    </rPh>
    <phoneticPr fontId="2"/>
  </si>
  <si>
    <t>入庫確認HEAD</t>
    <phoneticPr fontId="2"/>
  </si>
  <si>
    <t>入庫確認明細</t>
    <phoneticPr fontId="2"/>
  </si>
  <si>
    <t>入庫確認諸掛</t>
    <phoneticPr fontId="2"/>
  </si>
  <si>
    <t>入庫確認支払充当</t>
    <phoneticPr fontId="2"/>
  </si>
  <si>
    <t>入庫確認入荷予定</t>
    <phoneticPr fontId="2"/>
  </si>
  <si>
    <t>K_CD_ARVCHK_ID</t>
    <phoneticPr fontId="2"/>
  </si>
  <si>
    <t>新規追加ﾊﾟﾗﾒｰﾀ</t>
    <rPh sb="0" eb="2">
      <t>シンキ</t>
    </rPh>
    <rPh sb="2" eb="4">
      <t>ツイカ</t>
    </rPh>
    <phoneticPr fontId="2"/>
  </si>
  <si>
    <t>※S：検索、I：登録</t>
    <rPh sb="3" eb="5">
      <t>ケンサク</t>
    </rPh>
    <rPh sb="8" eb="10">
      <t>トウロク</t>
    </rPh>
    <phoneticPr fontId="2"/>
  </si>
  <si>
    <t>行</t>
    <rPh sb="0" eb="1">
      <t>ギョウ</t>
    </rPh>
    <phoneticPr fontId="2"/>
  </si>
  <si>
    <t>ﾚｺｰﾄﾞ間隔</t>
    <rPh sb="5" eb="7">
      <t>カンカク</t>
    </rPh>
    <phoneticPr fontId="2"/>
  </si>
  <si>
    <t>出力単位</t>
    <rPh sb="0" eb="2">
      <t>シュツリョク</t>
    </rPh>
    <rPh sb="2" eb="4">
      <t>タンイ</t>
    </rPh>
    <phoneticPr fontId="2"/>
  </si>
  <si>
    <t>Insert文出力ＳＷ</t>
    <rPh sb="6" eb="7">
      <t>ブン</t>
    </rPh>
    <rPh sb="7" eb="9">
      <t>シュツリョク</t>
    </rPh>
    <phoneticPr fontId="2"/>
  </si>
  <si>
    <t>※Y：出力、N：出力しない</t>
    <rPh sb="3" eb="5">
      <t>シュツリョク</t>
    </rPh>
    <rPh sb="8" eb="10">
      <t>シュツリョク</t>
    </rPh>
    <phoneticPr fontId="2"/>
  </si>
  <si>
    <t>Mode</t>
    <phoneticPr fontId="2"/>
  </si>
  <si>
    <t>描画出力SW</t>
    <phoneticPr fontId="2"/>
  </si>
  <si>
    <t xml:space="preserve">SELECT </t>
  </si>
  <si>
    <t>KSC.BUSINESS_UNIT</t>
  </si>
  <si>
    <t>,KSC.DEPTID</t>
  </si>
  <si>
    <t>,KSC.K_CD_SHPPLN_ID</t>
  </si>
  <si>
    <t>,KSC.K_CD_ARVPLN_ID</t>
  </si>
  <si>
    <t>,KSC.K_CD_TRD_ID</t>
  </si>
  <si>
    <t>,XTB.X_CD_TRLDGR_ID</t>
  </si>
  <si>
    <t>--,PROJECT_ID</t>
  </si>
  <si>
    <t>,KSC.K_CD_DO_NO</t>
  </si>
  <si>
    <t>KSCKH,K_CD_SHPCHK_ID</t>
  </si>
  <si>
    <t>KSBB,K_CD_SKBIL_ID</t>
  </si>
  <si>
    <t>--,K_CD_ARVCHK_ID</t>
  </si>
  <si>
    <t>FROM PS_K_CD_SHCO_H_TBL KSC</t>
  </si>
  <si>
    <t>WITH UR;</t>
  </si>
  <si>
    <t>X0801</t>
    <phoneticPr fontId="2"/>
  </si>
  <si>
    <t xml:space="preserve"> </t>
    <phoneticPr fontId="2"/>
  </si>
  <si>
    <t xml:space="preserve"> </t>
    <phoneticPr fontId="2"/>
  </si>
  <si>
    <t>SELECT DATE('1900-01-01') K_PROCESS_DT,A.* FROM PS_K_CD_CMGRPS_TBL A FETCH FIRST 30 ROWS ONLY WITH UR</t>
  </si>
  <si>
    <t>書式</t>
    <rPh sb="0" eb="2">
      <t>ショシキ</t>
    </rPh>
    <phoneticPr fontId="2"/>
  </si>
  <si>
    <t>KGJPN</t>
    <phoneticPr fontId="2"/>
  </si>
  <si>
    <t>K_PI_APIM_H_TBL</t>
    <phoneticPr fontId="2"/>
  </si>
  <si>
    <t>PI債務HEADER</t>
    <phoneticPr fontId="2"/>
  </si>
  <si>
    <t>K_PI_APIM_P_TBL</t>
    <phoneticPr fontId="2"/>
  </si>
  <si>
    <t>PI債務部門別支払情報</t>
    <phoneticPr fontId="2"/>
  </si>
  <si>
    <t>K_PI_APDM_D_TBL</t>
    <phoneticPr fontId="2"/>
  </si>
  <si>
    <t>PI債務決済情報</t>
    <phoneticPr fontId="2"/>
  </si>
  <si>
    <t>K_PI_AP_ID</t>
  </si>
  <si>
    <t>債務ID</t>
  </si>
  <si>
    <t>K_AP_PMT_MTHD_KG</t>
    <phoneticPr fontId="2"/>
  </si>
  <si>
    <t>決済方法</t>
    <phoneticPr fontId="2"/>
  </si>
  <si>
    <t>PYMNT_VCHR_XREF</t>
    <phoneticPr fontId="2"/>
  </si>
  <si>
    <t>伝票/支払ｽｹｼﾞｭｰﾙ</t>
    <phoneticPr fontId="2"/>
  </si>
  <si>
    <t>VOUCHER_ID</t>
    <phoneticPr fontId="2"/>
  </si>
  <si>
    <t>伝票ID</t>
    <rPh sb="0" eb="2">
      <t>デンピョウ</t>
    </rPh>
    <phoneticPr fontId="2"/>
  </si>
  <si>
    <t>K_AP_PMTVCHR_RT</t>
    <phoneticPr fontId="2"/>
  </si>
  <si>
    <t>伝票支払付加ﾃｰﾌﾞﾙ</t>
    <phoneticPr fontId="2"/>
  </si>
  <si>
    <t>VOUCHER</t>
    <phoneticPr fontId="2"/>
  </si>
  <si>
    <t>AP 伝票ﾍｯﾀﾞｰ ﾃｰﾌﾞﾙ</t>
    <phoneticPr fontId="2"/>
  </si>
  <si>
    <t>K_AP_VOUCHER</t>
    <phoneticPr fontId="2"/>
  </si>
  <si>
    <t>伝票ﾍｯﾀﾞｰ付加ﾃｰﾌﾞﾙ</t>
    <phoneticPr fontId="2"/>
  </si>
  <si>
    <t>VOUCHER_LINE</t>
    <phoneticPr fontId="2"/>
  </si>
  <si>
    <t>伝票行</t>
    <phoneticPr fontId="2"/>
  </si>
  <si>
    <t>DISTRIB_LINE</t>
    <phoneticPr fontId="2"/>
  </si>
  <si>
    <t>伝票配布ﾃｰﾌﾞﾙ</t>
    <phoneticPr fontId="2"/>
  </si>
  <si>
    <t>AP 支払</t>
    <phoneticPr fontId="2"/>
  </si>
  <si>
    <t>PYMNT_ID</t>
    <phoneticPr fontId="2"/>
  </si>
  <si>
    <t>支払ID</t>
    <rPh sb="0" eb="2">
      <t>シハライ</t>
    </rPh>
    <phoneticPr fontId="2"/>
  </si>
  <si>
    <t>BCH_XREF_EXT</t>
    <phoneticPr fontId="2"/>
  </si>
  <si>
    <t>伝票手数料ﾃｰﾌﾞﾙ</t>
    <phoneticPr fontId="2"/>
  </si>
  <si>
    <t>VCHR_ACCTG_LINE</t>
    <phoneticPr fontId="2"/>
  </si>
  <si>
    <t>AP 会計入力</t>
    <phoneticPr fontId="2"/>
  </si>
  <si>
    <t>PAYMENT_TBL</t>
    <phoneticPr fontId="2"/>
  </si>
  <si>
    <t>電子記録債務手数料ﾃｰﾌﾞﾙ</t>
    <phoneticPr fontId="2"/>
  </si>
  <si>
    <t>K_AP_DNSCHG_TBL</t>
    <phoneticPr fontId="2"/>
  </si>
  <si>
    <t>K_AP_VACTLN_TBL</t>
    <phoneticPr fontId="2"/>
  </si>
  <si>
    <t>補助簿履歴テーブル</t>
    <phoneticPr fontId="2"/>
  </si>
  <si>
    <t>K_CD_SHCO_H_TBL</t>
  </si>
  <si>
    <t>K_CD_CONT_H_TBL</t>
  </si>
  <si>
    <t>K_CD_CONT_B_TBL</t>
  </si>
  <si>
    <t>K_CD_CONTRN_TBL</t>
  </si>
  <si>
    <t>PROJECT</t>
  </si>
  <si>
    <t>K_CD_SHPN_H_TBL</t>
  </si>
  <si>
    <t>K_CD_SHPN_B_TBL</t>
  </si>
  <si>
    <t>K_CD_SHPNRV_TBL</t>
  </si>
  <si>
    <t>X_CD_SHPN_H_TBL</t>
  </si>
  <si>
    <t>X_CD_SHPN_B_TBL</t>
  </si>
  <si>
    <t>K_CD_ARPN_H_TBL</t>
  </si>
  <si>
    <t>K_CD_ARPN_B_TBL</t>
  </si>
  <si>
    <t>K_CD_ARPN_C_TBL</t>
  </si>
  <si>
    <t>X_CD_ARPN_H_TBL</t>
  </si>
  <si>
    <t>X_CD_ARPN_B_TBL</t>
  </si>
  <si>
    <t>X_CD_TRLDGH_TBL</t>
  </si>
  <si>
    <t>X_CD_TRLDGB_TBL</t>
  </si>
  <si>
    <t>K_CD_DO_H_TBL</t>
  </si>
  <si>
    <t>K_CD_DO_B_TBL</t>
  </si>
  <si>
    <t>K_CD_SHCKDH_TBL</t>
  </si>
  <si>
    <t>K_CD_SHCKDB_TBL</t>
  </si>
  <si>
    <t>K_CD_SKBILH_TBL</t>
  </si>
  <si>
    <t>K_CD_SKBILB_TBL</t>
  </si>
  <si>
    <t>K_CD_ARCK_H_TBL</t>
  </si>
  <si>
    <t>K_CD_ARCK_B_TBL</t>
  </si>
  <si>
    <t>K_CD_ARCK_C_TBL</t>
  </si>
  <si>
    <t>K_CD_ARCK_U_TBL</t>
  </si>
  <si>
    <t>K_CD_ARCK_N_TBL</t>
  </si>
  <si>
    <t>GROUP_CONTROL</t>
  </si>
  <si>
    <t>PENDING_ITEM</t>
  </si>
  <si>
    <t>PENDING_DST</t>
  </si>
  <si>
    <t>PENDING_VAT</t>
  </si>
  <si>
    <t>ITEM_ACTIVITY</t>
  </si>
  <si>
    <t>ITEM_ACT_VAT</t>
  </si>
  <si>
    <t>ITEM_DST</t>
  </si>
  <si>
    <t>VOUCHER.PO_ID</t>
    <phoneticPr fontId="2"/>
  </si>
  <si>
    <t>SELECT t.* FROM PS_K_CD_BI_H_TBL t WHERE t.BUSINESS_UNIT = 'X0901' and t.K_NS_CRT_PGM = 'H_CD_SHCHGCK_INP'  WITH UR;</t>
  </si>
  <si>
    <t>EP853XDV</t>
    <phoneticPr fontId="2"/>
  </si>
  <si>
    <t>EP853XTS</t>
    <phoneticPr fontId="2"/>
  </si>
  <si>
    <t>EP853XSM</t>
    <phoneticPr fontId="2"/>
  </si>
  <si>
    <t>EP853SCJ</t>
    <phoneticPr fontId="2"/>
  </si>
  <si>
    <t>EP853RTS</t>
    <phoneticPr fontId="2"/>
  </si>
  <si>
    <t>EP853RSM</t>
    <phoneticPr fontId="2"/>
  </si>
  <si>
    <t>VCHRLN_MISC_CHG</t>
    <phoneticPr fontId="2"/>
  </si>
  <si>
    <t xml:space="preserve"> </t>
    <phoneticPr fontId="2"/>
  </si>
  <si>
    <t>PYMNT_VCHR_MSG</t>
    <phoneticPr fontId="2"/>
  </si>
  <si>
    <t>Payment Vchr Xref Message</t>
    <phoneticPr fontId="2"/>
  </si>
  <si>
    <t>債務確定入力画面作成</t>
    <rPh sb="0" eb="2">
      <t>サイム</t>
    </rPh>
    <rPh sb="2" eb="4">
      <t>カクテイ</t>
    </rPh>
    <rPh sb="4" eb="6">
      <t>ニュウリョク</t>
    </rPh>
    <rPh sb="6" eb="8">
      <t>ガメン</t>
    </rPh>
    <rPh sb="8" eb="10">
      <t>サクセイ</t>
    </rPh>
    <phoneticPr fontId="2"/>
  </si>
  <si>
    <t>支払伝票入力作成</t>
    <rPh sb="0" eb="2">
      <t>シハライ</t>
    </rPh>
    <rPh sb="2" eb="4">
      <t>デンピョウ</t>
    </rPh>
    <rPh sb="4" eb="6">
      <t>ニュウリョク</t>
    </rPh>
    <rPh sb="6" eb="8">
      <t>サクセイ</t>
    </rPh>
    <phoneticPr fontId="2"/>
  </si>
  <si>
    <t>AP/PI　インターフェイス作成</t>
    <rPh sb="14" eb="16">
      <t>サクセイ</t>
    </rPh>
    <phoneticPr fontId="2"/>
  </si>
  <si>
    <t>SELECT t.* FROM PSSQLTEXTDEFN t WHERE t.sqlid = 'AE_TOOLS_CHK_VW' FETCH FIRST 10 ROWS ONLY WITH UR;</t>
  </si>
  <si>
    <t>SELECT t.* FROM PSSQLTEXTDEFN t WHERE t.sqlid = 'AE_TOOLS_CHK_VW' and 1 =  2  FETCH FIRST 10 ROWS ONLY WITH UR;</t>
    <phoneticPr fontId="2"/>
  </si>
  <si>
    <t>SELECT t.K_CD_SKRMK_TXT,t.K_NS_CRT_OPRID,t.* FROM PS_K_CD_BI_H_TBL t WHERE t.K_CD_SKRMK_TXT &lt;&gt; '' and t.K_NS_CRT_OPRID &lt;&gt; '' FETCH FIRST 10 ROWS ONLY WITH UR;</t>
    <phoneticPr fontId="2"/>
  </si>
  <si>
    <t>SELECT count(1) FROM PS_PROJECT WITH UR;</t>
  </si>
  <si>
    <t>EP853RDV</t>
    <phoneticPr fontId="2"/>
  </si>
  <si>
    <t>db2rdv</t>
    <phoneticPr fontId="2"/>
  </si>
  <si>
    <t>db2rdv</t>
    <phoneticPr fontId="2"/>
  </si>
  <si>
    <t>IBM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</si>
</sst>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name val="ＭＳ ゴシック"/>
      <family val="3"/>
      <charset val="128"/>
    </font>
    <font>
      <sz val="9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sz val="9"/>
      <color theme="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</fonts>
  <fills count="21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9">
    <xf numFmtId="0" fontId="0" fillId="0" borderId="0" xfId="0">
      <alignment vertical="center"/>
    </xf>
    <xf numFmtId="0" fontId="0" fillId="0" borderId="1" xfId="0" applyBorder="1">
      <alignment vertical="center"/>
    </xf>
    <xf numFmtId="0" fontId="3" fillId="2" borderId="1" xfId="0" applyFont="1" applyFill="1" applyBorder="1">
      <alignment vertical="center"/>
    </xf>
    <xf numFmtId="0" fontId="3" fillId="0" borderId="0" xfId="0" applyFont="1">
      <alignment vertical="center"/>
    </xf>
    <xf numFmtId="0" fontId="1" fillId="0" borderId="0" xfId="0" applyFont="1">
      <alignment vertical="center"/>
    </xf>
    <xf numFmtId="0" fontId="0" fillId="0" borderId="2" xfId="0" applyBorder="1">
      <alignment vertical="center"/>
    </xf>
    <xf numFmtId="0" fontId="4" fillId="0" borderId="0" xfId="0" applyFont="1">
      <alignment vertical="center"/>
    </xf>
    <xf numFmtId="0" fontId="0" fillId="0" borderId="0" xfId="0" applyNumberFormat="1">
      <alignment vertical="center"/>
    </xf>
    <xf numFmtId="0" fontId="0" fillId="0" borderId="0" xfId="0" quotePrefix="1">
      <alignment vertical="center"/>
    </xf>
    <xf numFmtId="0" fontId="0" fillId="3" borderId="1" xfId="0" applyFill="1" applyBorder="1">
      <alignment vertical="center"/>
    </xf>
    <xf numFmtId="0" fontId="6" fillId="0" borderId="0" xfId="0" applyNumberFormat="1" applyFont="1" applyBorder="1" applyAlignment="1">
      <alignment vertical="center"/>
    </xf>
    <xf numFmtId="49" fontId="7" fillId="0" borderId="1" xfId="0" applyNumberFormat="1" applyFont="1" applyBorder="1">
      <alignment vertical="center"/>
    </xf>
    <xf numFmtId="0" fontId="6" fillId="0" borderId="0" xfId="0" applyNumberFormat="1" applyFont="1" applyFill="1" applyBorder="1" applyAlignment="1">
      <alignment vertical="center"/>
    </xf>
    <xf numFmtId="49" fontId="0" fillId="0" borderId="0" xfId="0" applyNumberFormat="1">
      <alignment vertical="center"/>
    </xf>
    <xf numFmtId="49" fontId="5" fillId="5" borderId="1" xfId="0" applyNumberFormat="1" applyFont="1" applyFill="1" applyBorder="1">
      <alignment vertical="center"/>
    </xf>
    <xf numFmtId="49" fontId="7" fillId="5" borderId="1" xfId="0" applyNumberFormat="1" applyFont="1" applyFill="1" applyBorder="1">
      <alignment vertical="center"/>
    </xf>
    <xf numFmtId="49" fontId="9" fillId="6" borderId="1" xfId="0" applyNumberFormat="1" applyFont="1" applyFill="1" applyBorder="1">
      <alignment vertical="center"/>
    </xf>
    <xf numFmtId="0" fontId="0" fillId="7" borderId="1" xfId="0" applyFill="1" applyBorder="1">
      <alignment vertical="center"/>
    </xf>
    <xf numFmtId="0" fontId="8" fillId="4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49" fontId="7" fillId="0" borderId="1" xfId="0" applyNumberFormat="1" applyFont="1" applyFill="1" applyBorder="1">
      <alignment vertical="center"/>
    </xf>
    <xf numFmtId="0" fontId="7" fillId="0" borderId="1" xfId="0" applyFont="1" applyFill="1" applyBorder="1">
      <alignment vertical="center"/>
    </xf>
    <xf numFmtId="14" fontId="7" fillId="0" borderId="1" xfId="0" applyNumberFormat="1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5" borderId="1" xfId="0" applyNumberFormat="1" applyFont="1" applyFill="1" applyBorder="1">
      <alignment vertical="center"/>
    </xf>
    <xf numFmtId="0" fontId="7" fillId="0" borderId="0" xfId="0" applyFont="1">
      <alignment vertical="center"/>
    </xf>
    <xf numFmtId="49" fontId="4" fillId="8" borderId="1" xfId="0" applyNumberFormat="1" applyFont="1" applyFill="1" applyBorder="1">
      <alignment vertical="center"/>
    </xf>
    <xf numFmtId="0" fontId="4" fillId="8" borderId="1" xfId="0" applyFont="1" applyFill="1" applyBorder="1">
      <alignment vertical="center"/>
    </xf>
    <xf numFmtId="0" fontId="8" fillId="4" borderId="3" xfId="0" applyFont="1" applyFill="1" applyBorder="1">
      <alignment vertical="center"/>
    </xf>
    <xf numFmtId="0" fontId="7" fillId="9" borderId="4" xfId="0" applyFont="1" applyFill="1" applyBorder="1">
      <alignment vertical="center"/>
    </xf>
    <xf numFmtId="0" fontId="0" fillId="9" borderId="5" xfId="0" applyFill="1" applyBorder="1">
      <alignment vertical="center"/>
    </xf>
    <xf numFmtId="0" fontId="4" fillId="9" borderId="1" xfId="0" applyFont="1" applyFill="1" applyBorder="1">
      <alignment vertical="center"/>
    </xf>
    <xf numFmtId="0" fontId="4" fillId="10" borderId="1" xfId="0" applyFont="1" applyFill="1" applyBorder="1">
      <alignment vertical="center"/>
    </xf>
    <xf numFmtId="49" fontId="0" fillId="12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3" fillId="8" borderId="1" xfId="0" applyNumberFormat="1" applyFont="1" applyFill="1" applyBorder="1">
      <alignment vertical="center"/>
    </xf>
    <xf numFmtId="0" fontId="8" fillId="7" borderId="1" xfId="0" applyFont="1" applyFill="1" applyBorder="1">
      <alignment vertical="center"/>
    </xf>
    <xf numFmtId="0" fontId="8" fillId="13" borderId="1" xfId="0" applyFont="1" applyFill="1" applyBorder="1">
      <alignment vertical="center"/>
    </xf>
    <xf numFmtId="0" fontId="7" fillId="8" borderId="1" xfId="0" applyNumberFormat="1" applyFont="1" applyFill="1" applyBorder="1">
      <alignment vertical="center"/>
    </xf>
    <xf numFmtId="49" fontId="7" fillId="8" borderId="1" xfId="0" applyNumberFormat="1" applyFont="1" applyFill="1" applyBorder="1">
      <alignment vertical="center"/>
    </xf>
    <xf numFmtId="49" fontId="0" fillId="0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0" fontId="11" fillId="2" borderId="1" xfId="0" applyFont="1" applyFill="1" applyBorder="1">
      <alignment vertical="center"/>
    </xf>
    <xf numFmtId="49" fontId="3" fillId="11" borderId="1" xfId="0" applyNumberFormat="1" applyFont="1" applyFill="1" applyBorder="1" applyAlignment="1">
      <alignment horizontal="center" vertical="center"/>
    </xf>
    <xf numFmtId="49" fontId="0" fillId="11" borderId="1" xfId="0" applyNumberFormat="1" applyFill="1" applyBorder="1" applyAlignment="1">
      <alignment horizontal="center" vertical="center"/>
    </xf>
    <xf numFmtId="49" fontId="10" fillId="0" borderId="1" xfId="0" applyNumberFormat="1" applyFont="1" applyBorder="1">
      <alignment vertical="center"/>
    </xf>
    <xf numFmtId="49" fontId="3" fillId="17" borderId="1" xfId="0" applyNumberFormat="1" applyFont="1" applyFill="1" applyBorder="1">
      <alignment vertical="center"/>
    </xf>
    <xf numFmtId="49" fontId="3" fillId="0" borderId="1" xfId="0" applyNumberFormat="1" applyFont="1" applyBorder="1">
      <alignment vertical="center"/>
    </xf>
    <xf numFmtId="49" fontId="3" fillId="8" borderId="1" xfId="0" applyNumberFormat="1" applyFont="1" applyFill="1" applyBorder="1" applyAlignment="1">
      <alignment vertical="center" wrapText="1"/>
    </xf>
    <xf numFmtId="49" fontId="3" fillId="16" borderId="1" xfId="0" applyNumberFormat="1" applyFont="1" applyFill="1" applyBorder="1">
      <alignment vertical="center"/>
    </xf>
    <xf numFmtId="49" fontId="3" fillId="15" borderId="1" xfId="0" applyNumberFormat="1" applyFont="1" applyFill="1" applyBorder="1">
      <alignment vertical="center"/>
    </xf>
    <xf numFmtId="49" fontId="11" fillId="18" borderId="1" xfId="0" applyNumberFormat="1" applyFont="1" applyFill="1" applyBorder="1">
      <alignment vertical="center"/>
    </xf>
    <xf numFmtId="49" fontId="3" fillId="0" borderId="0" xfId="0" applyNumberFormat="1" applyFont="1" applyFill="1" applyBorder="1">
      <alignment vertical="center"/>
    </xf>
    <xf numFmtId="49" fontId="0" fillId="12" borderId="0" xfId="0" applyNumberFormat="1" applyFill="1">
      <alignment vertical="center"/>
    </xf>
    <xf numFmtId="49" fontId="3" fillId="11" borderId="1" xfId="0" applyNumberFormat="1" applyFont="1" applyFill="1" applyBorder="1">
      <alignment vertical="center"/>
    </xf>
    <xf numFmtId="49" fontId="3" fillId="14" borderId="1" xfId="0" applyNumberFormat="1" applyFont="1" applyFill="1" applyBorder="1">
      <alignment vertical="center"/>
    </xf>
    <xf numFmtId="49" fontId="0" fillId="0" borderId="7" xfId="0" applyNumberFormat="1" applyBorder="1">
      <alignment vertical="center"/>
    </xf>
    <xf numFmtId="49" fontId="0" fillId="0" borderId="8" xfId="0" applyNumberFormat="1" applyBorder="1">
      <alignment vertical="center"/>
    </xf>
    <xf numFmtId="49" fontId="0" fillId="0" borderId="9" xfId="0" applyNumberFormat="1" applyBorder="1">
      <alignment vertical="center"/>
    </xf>
    <xf numFmtId="49" fontId="0" fillId="0" borderId="6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10" xfId="0" applyNumberFormat="1" applyBorder="1">
      <alignment vertical="center"/>
    </xf>
    <xf numFmtId="49" fontId="0" fillId="0" borderId="11" xfId="0" applyNumberFormat="1" applyBorder="1">
      <alignment vertical="center"/>
    </xf>
    <xf numFmtId="49" fontId="0" fillId="0" borderId="12" xfId="0" applyNumberFormat="1" applyBorder="1">
      <alignment vertical="center"/>
    </xf>
    <xf numFmtId="49" fontId="0" fillId="0" borderId="13" xfId="0" applyNumberFormat="1" applyBorder="1">
      <alignment vertical="center"/>
    </xf>
    <xf numFmtId="0" fontId="0" fillId="0" borderId="6" xfId="0" applyNumberFormat="1" applyFill="1" applyBorder="1">
      <alignment vertical="center"/>
    </xf>
    <xf numFmtId="0" fontId="0" fillId="19" borderId="6" xfId="0" applyNumberFormat="1" applyFill="1" applyBorder="1">
      <alignment vertical="center"/>
    </xf>
    <xf numFmtId="0" fontId="0" fillId="12" borderId="0" xfId="0" applyNumberFormat="1" applyFill="1">
      <alignment vertical="center"/>
    </xf>
    <xf numFmtId="49" fontId="0" fillId="0" borderId="0" xfId="0" applyNumberFormat="1" applyFill="1">
      <alignment vertical="center"/>
    </xf>
    <xf numFmtId="49" fontId="3" fillId="0" borderId="1" xfId="0" applyNumberFormat="1" applyFont="1" applyFill="1" applyBorder="1">
      <alignment vertical="center"/>
    </xf>
    <xf numFmtId="49" fontId="3" fillId="0" borderId="1" xfId="0" applyNumberFormat="1" applyFont="1" applyFill="1" applyBorder="1" applyAlignment="1">
      <alignment vertical="center" wrapText="1"/>
    </xf>
    <xf numFmtId="49" fontId="3" fillId="0" borderId="1" xfId="0" applyNumberFormat="1" applyFont="1" applyFill="1" applyBorder="1" applyAlignment="1">
      <alignment vertical="center" shrinkToFit="1"/>
    </xf>
    <xf numFmtId="0" fontId="10" fillId="0" borderId="1" xfId="0" applyNumberFormat="1" applyFont="1" applyBorder="1">
      <alignment vertical="center"/>
    </xf>
    <xf numFmtId="0" fontId="10" fillId="0" borderId="0" xfId="0" applyFont="1">
      <alignment vertical="center"/>
    </xf>
    <xf numFmtId="49" fontId="4" fillId="0" borderId="1" xfId="0" applyNumberFormat="1" applyFont="1" applyBorder="1">
      <alignment vertical="center"/>
    </xf>
    <xf numFmtId="0" fontId="10" fillId="8" borderId="1" xfId="0" applyNumberFormat="1" applyFont="1" applyFill="1" applyBorder="1">
      <alignment vertical="center"/>
    </xf>
    <xf numFmtId="49" fontId="0" fillId="14" borderId="0" xfId="0" applyNumberFormat="1" applyFill="1">
      <alignment vertical="center"/>
    </xf>
    <xf numFmtId="49" fontId="0" fillId="20" borderId="0" xfId="0" applyNumberFormat="1" applyFill="1">
      <alignment vertical="center"/>
    </xf>
    <xf numFmtId="49" fontId="0" fillId="8" borderId="0" xfId="0" applyNumberForma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14</xdr:row>
          <xdr:rowOff>142875</xdr:rowOff>
        </xdr:from>
        <xdr:to>
          <xdr:col>1</xdr:col>
          <xdr:colOff>428625</xdr:colOff>
          <xdr:row>16</xdr:row>
          <xdr:rowOff>114300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20730</xdr:colOff>
          <xdr:row>0</xdr:row>
          <xdr:rowOff>158564</xdr:rowOff>
        </xdr:from>
        <xdr:to>
          <xdr:col>11</xdr:col>
          <xdr:colOff>22411</xdr:colOff>
          <xdr:row>26</xdr:row>
          <xdr:rowOff>0</xdr:rowOff>
        </xdr:to>
        <xdr:sp macro="" textlink="">
          <xdr:nvSpPr>
            <xdr:cNvPr id="3082" name="ListBox1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417979</xdr:colOff>
      <xdr:row>0</xdr:row>
      <xdr:rowOff>128866</xdr:rowOff>
    </xdr:from>
    <xdr:to>
      <xdr:col>18</xdr:col>
      <xdr:colOff>11205</xdr:colOff>
      <xdr:row>38</xdr:row>
      <xdr:rowOff>44824</xdr:rowOff>
    </xdr:to>
    <xdr:sp macro="" textlink="">
      <xdr:nvSpPr>
        <xdr:cNvPr id="4" name="角丸四角形 3"/>
        <xdr:cNvSpPr/>
      </xdr:nvSpPr>
      <xdr:spPr>
        <a:xfrm>
          <a:off x="8900832" y="128866"/>
          <a:ext cx="4378138" cy="630331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使用手順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Config</a:t>
          </a:r>
          <a:r>
            <a:rPr kumimoji="1" lang="ja-JP" altLang="en-US" sz="1050"/>
            <a:t>シートの右側リストボックスより、データ取得元</a:t>
          </a:r>
          <a:r>
            <a:rPr kumimoji="1" lang="en-US" altLang="ja-JP" sz="1050"/>
            <a:t>DB</a:t>
          </a:r>
          <a:r>
            <a:rPr kumimoji="1" lang="ja-JP" altLang="en-US" sz="1050"/>
            <a:t>を選択する。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B</a:t>
          </a:r>
          <a:r>
            <a:rPr kumimoji="1" lang="ja-JP" altLang="en-US" sz="1050"/>
            <a:t>列に</a:t>
          </a:r>
          <a:r>
            <a:rPr kumimoji="1" lang="en-US" altLang="ja-JP" sz="1050"/>
            <a:t>DB</a:t>
          </a:r>
          <a:r>
            <a:rPr kumimoji="1" lang="ja-JP" altLang="en-US" sz="1050"/>
            <a:t>名、ﾕｰｻﾞｰ、ﾊﾟｽﾜｰﾄﾞ、ｽｷｰﾏが自動セットされる。</a:t>
          </a:r>
          <a:endParaRPr kumimoji="1" lang="en-US" altLang="ja-JP" sz="1050"/>
        </a:p>
        <a:p>
          <a:pPr algn="l"/>
          <a:r>
            <a:rPr kumimoji="1" lang="en-US" altLang="ja-JP" sz="1050"/>
            <a:t>2. Sql</a:t>
          </a:r>
          <a:r>
            <a:rPr kumimoji="1" lang="ja-JP" altLang="en-US" sz="1050"/>
            <a:t>シートにデータ取得</a:t>
          </a:r>
          <a:r>
            <a:rPr kumimoji="1" lang="en-US" altLang="ja-JP" sz="1050"/>
            <a:t>SQL</a:t>
          </a:r>
          <a:r>
            <a:rPr kumimoji="1" lang="ja-JP" altLang="en-US" sz="1050"/>
            <a:t>を記入する。</a:t>
          </a:r>
          <a:endParaRPr kumimoji="1" lang="en-US" altLang="ja-JP" sz="1050"/>
        </a:p>
        <a:p>
          <a:pPr algn="l"/>
          <a:r>
            <a:rPr kumimoji="1" lang="en-US" altLang="ja-JP" sz="1050"/>
            <a:t>3. Config</a:t>
          </a:r>
          <a:r>
            <a:rPr kumimoji="1" lang="ja-JP" altLang="en-US" sz="1050"/>
            <a:t>シートの</a:t>
          </a:r>
          <a:r>
            <a:rPr kumimoji="1" lang="en-US" altLang="ja-JP" sz="1050"/>
            <a:t>SQL</a:t>
          </a:r>
          <a:r>
            <a:rPr kumimoji="1" lang="ja-JP" altLang="en-US" sz="1050"/>
            <a:t>実行ボタン押下する。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Sheet1</a:t>
          </a:r>
          <a:r>
            <a:rPr kumimoji="1" lang="ja-JP" altLang="en-US" sz="1050"/>
            <a:t>が自動作成され、</a:t>
          </a:r>
          <a:r>
            <a:rPr kumimoji="1" lang="en-US" altLang="ja-JP" sz="1050"/>
            <a:t>SQL</a:t>
          </a:r>
          <a:r>
            <a:rPr kumimoji="1" lang="ja-JP" altLang="en-US" sz="1050"/>
            <a:t>実行結果出力される。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Config</a:t>
          </a:r>
          <a:r>
            <a:rPr kumimoji="1" lang="ja-JP" altLang="en-US" sz="1050"/>
            <a:t>シートにて</a:t>
          </a:r>
          <a:r>
            <a:rPr kumimoji="1" lang="en-US" altLang="ja-JP" sz="1050"/>
            <a:t>VALUES</a:t>
          </a:r>
          <a:r>
            <a:rPr kumimoji="1" lang="ja-JP" altLang="en-US" sz="1050"/>
            <a:t>出力を</a:t>
          </a:r>
          <a:r>
            <a:rPr kumimoji="1" lang="en-US" altLang="ja-JP" sz="1050"/>
            <a:t>Y</a:t>
          </a:r>
          <a:r>
            <a:rPr kumimoji="1" lang="ja-JP" altLang="en-US" sz="1050"/>
            <a:t>にしていれば、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INSERT SQL</a:t>
          </a:r>
          <a:r>
            <a:rPr kumimoji="1" lang="ja-JP" altLang="en-US" sz="1050"/>
            <a:t>向けの</a:t>
          </a:r>
          <a:r>
            <a:rPr kumimoji="1" lang="en-US" altLang="ja-JP" sz="1050"/>
            <a:t>VALUES</a:t>
          </a:r>
          <a:r>
            <a:rPr kumimoji="1" lang="ja-JP" altLang="en-US" sz="1050"/>
            <a:t>句も出力される。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注意点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</a:t>
          </a:r>
          <a:r>
            <a:rPr kumimoji="1" lang="ja-JP" altLang="en-US" sz="1050" strike="dblStrike" baseline="0"/>
            <a:t>日付</a:t>
          </a:r>
          <a:r>
            <a:rPr kumimoji="1" lang="en-US" altLang="ja-JP" sz="1050" strike="dblStrike" baseline="0"/>
            <a:t>"1900-01-01"</a:t>
          </a:r>
          <a:r>
            <a:rPr kumimoji="1" lang="ja-JP" altLang="en-US" sz="1050" strike="dblStrike" baseline="0"/>
            <a:t>を</a:t>
          </a:r>
          <a:r>
            <a:rPr kumimoji="1" lang="en-US" altLang="ja-JP" sz="1050" strike="dblStrike" baseline="0"/>
            <a:t>SELECT</a:t>
          </a:r>
          <a:r>
            <a:rPr kumimoji="1" lang="ja-JP" altLang="en-US" sz="1050" strike="dblStrike" baseline="0"/>
            <a:t>した際に、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への書き出し値が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1900/01/02</a:t>
          </a:r>
          <a:r>
            <a:rPr kumimoji="1" lang="ja-JP" altLang="en-US" sz="1050" strike="dblStrike" baseline="0"/>
            <a:t>となる不具合があるので、必要であれば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の値を手動で</a:t>
          </a:r>
          <a:r>
            <a:rPr kumimoji="1" lang="en-US" altLang="ja-JP" sz="1050" strike="dblStrike" baseline="0"/>
            <a:t>1900/01/01</a:t>
          </a:r>
          <a:r>
            <a:rPr kumimoji="1" lang="ja-JP" altLang="en-US" sz="1050" strike="dblStrike" baseline="0"/>
            <a:t>に書き換えること。</a:t>
          </a:r>
          <a:endParaRPr kumimoji="1" lang="en-US" altLang="ja-JP" sz="1050" strike="dblStrike" baseline="0"/>
        </a:p>
        <a:p>
          <a:pPr algn="l"/>
          <a:r>
            <a:rPr kumimoji="1" lang="ja-JP" altLang="en-US" sz="1050"/>
            <a:t>　</a:t>
          </a:r>
          <a:r>
            <a:rPr kumimoji="1" lang="en-US" altLang="ja-JP" sz="1050"/>
            <a:t>2013/10/08</a:t>
          </a:r>
          <a:r>
            <a:rPr kumimoji="1" lang="ja-JP" altLang="en-US" sz="1050"/>
            <a:t>修正し、上記問題に対応した。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ja-JP" altLang="en-US" sz="1050"/>
            <a:t>但し以下の場合は対応できない</a:t>
          </a:r>
          <a:endParaRPr kumimoji="1" lang="en-US" altLang="ja-JP" sz="1050"/>
        </a:p>
        <a:p>
          <a:pPr algn="l"/>
          <a:r>
            <a:rPr kumimoji="1" lang="en-US" altLang="ja-JP" sz="1050"/>
            <a:t>   ※</a:t>
          </a:r>
          <a:r>
            <a:rPr kumimoji="1" lang="ja-JP" altLang="en-US" sz="1050"/>
            <a:t>日付型だがフィールドから定義が取れない場合</a:t>
          </a:r>
          <a:endParaRPr kumimoji="1" lang="en-US" altLang="ja-JP" sz="1050"/>
        </a:p>
        <a:p>
          <a:pPr algn="l"/>
          <a:r>
            <a:rPr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 DATE('1900-01-01') FROM (VALUES 1) A</a:t>
          </a:r>
        </a:p>
        <a:p>
          <a:pPr algn="l"/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以下の場合は対応可能</a:t>
          </a:r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　存在する</a:t>
          </a:r>
          <a:r>
            <a:rPr kumimoji="1"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Date</a:t>
          </a:r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型フィールドを別名とした場合</a:t>
          </a:r>
          <a:endParaRPr kumimoji="1" lang="en-US" altLang="ja-JP" sz="1050"/>
        </a:p>
        <a:p>
          <a:pPr algn="l"/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DATE('1900-01-01') K_PRCESS_DT FROM (VALUES 1) A</a:t>
          </a:r>
        </a:p>
        <a:p>
          <a:pPr algn="l"/>
          <a:endParaRPr kumimoji="1" lang="en-US" altLang="ja-JP" sz="1050"/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 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タイムスタンプ型のミリ秒以下は取得できない。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050"/>
        </a:p>
        <a:p>
          <a:pPr algn="l"/>
          <a:r>
            <a:rPr kumimoji="1" lang="en-US" altLang="ja-JP" sz="1050"/>
            <a:t>3 </a:t>
          </a:r>
          <a:r>
            <a:rPr kumimoji="1" lang="ja-JP" altLang="en-US" sz="1050"/>
            <a:t>当</a:t>
          </a:r>
          <a:r>
            <a:rPr kumimoji="1" lang="en-US" altLang="ja-JP" sz="1050"/>
            <a:t>Book</a:t>
          </a:r>
          <a:r>
            <a:rPr kumimoji="1" lang="ja-JP" altLang="en-US" sz="1050"/>
            <a:t>の「</a:t>
          </a:r>
          <a:r>
            <a:rPr kumimoji="1" lang="en-US" altLang="ja-JP" sz="1050"/>
            <a:t>Sql</a:t>
          </a:r>
          <a:r>
            <a:rPr kumimoji="1" lang="ja-JP" altLang="en-US" sz="1050"/>
            <a:t>」「</a:t>
          </a:r>
          <a:r>
            <a:rPr kumimoji="1" lang="en-US" altLang="ja-JP" sz="1050"/>
            <a:t>Config</a:t>
          </a:r>
          <a:r>
            <a:rPr kumimoji="1" lang="ja-JP" altLang="en-US" sz="1050"/>
            <a:t>」以外のシートは任意で追加・削除して</a:t>
          </a:r>
          <a:endParaRPr kumimoji="1" lang="en-US" altLang="ja-JP" sz="1050"/>
        </a:p>
        <a:p>
          <a:pPr algn="l"/>
          <a:r>
            <a:rPr kumimoji="1" lang="ja-JP" altLang="en-US" sz="1050"/>
            <a:t>　　問題ないが、</a:t>
          </a:r>
          <a:r>
            <a:rPr kumimoji="1" lang="en-US" altLang="ja-JP" sz="1050"/>
            <a:t>SELECT</a:t>
          </a:r>
          <a:r>
            <a:rPr kumimoji="1" lang="ja-JP" altLang="en-US" sz="1050"/>
            <a:t>結果は常に</a:t>
          </a:r>
          <a:r>
            <a:rPr kumimoji="1" lang="en-US" altLang="ja-JP" sz="1050"/>
            <a:t>Sheet1</a:t>
          </a:r>
          <a:r>
            <a:rPr kumimoji="1" lang="ja-JP" altLang="en-US" sz="1050"/>
            <a:t>に書き出しされる点</a:t>
          </a:r>
          <a:endParaRPr kumimoji="1" lang="en-US" altLang="ja-JP" sz="1050"/>
        </a:p>
        <a:p>
          <a:pPr algn="l"/>
          <a:r>
            <a:rPr kumimoji="1" lang="ja-JP" altLang="en-US" sz="1050"/>
            <a:t>　　注意すること。</a:t>
          </a:r>
          <a:endParaRPr kumimoji="1" lang="en-US" altLang="ja-JP" sz="105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17</xdr:row>
          <xdr:rowOff>133350</xdr:rowOff>
        </xdr:from>
        <xdr:to>
          <xdr:col>1</xdr:col>
          <xdr:colOff>428625</xdr:colOff>
          <xdr:row>19</xdr:row>
          <xdr:rowOff>104775</xdr:rowOff>
        </xdr:to>
        <xdr:sp macro="" textlink="">
          <xdr:nvSpPr>
            <xdr:cNvPr id="3564" name="cmbtnInsertRecord" hidden="1">
              <a:extLst>
                <a:ext uri="{63B3BB69-23CF-44E3-9099-C40C66FF867C}">
                  <a14:compatExt spid="_x0000_s3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20</xdr:row>
          <xdr:rowOff>123825</xdr:rowOff>
        </xdr:from>
        <xdr:to>
          <xdr:col>1</xdr:col>
          <xdr:colOff>428625</xdr:colOff>
          <xdr:row>22</xdr:row>
          <xdr:rowOff>104775</xdr:rowOff>
        </xdr:to>
        <xdr:sp macro="" textlink="">
          <xdr:nvSpPr>
            <xdr:cNvPr id="3565" name="cmdBtnSearch3" hidden="1">
              <a:extLst>
                <a:ext uri="{63B3BB69-23CF-44E3-9099-C40C66FF867C}">
                  <a14:compatExt spid="_x0000_s3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U49"/>
  <sheetViews>
    <sheetView zoomScale="85" zoomScaleNormal="85" workbookViewId="0">
      <selection activeCell="B17" sqref="B17"/>
    </sheetView>
  </sheetViews>
  <sheetFormatPr defaultRowHeight="13.5" x14ac:dyDescent="0.15"/>
  <cols>
    <col min="1" max="1" width="5.375" style="13" customWidth="1"/>
    <col min="2" max="2" width="12.5" style="13" bestFit="1" customWidth="1"/>
    <col min="3" max="3" width="18.375" style="13" bestFit="1" customWidth="1"/>
    <col min="4" max="4" width="10.75" style="13" customWidth="1"/>
    <col min="5" max="5" width="8.375" style="13" customWidth="1"/>
    <col min="6" max="6" width="4.75" style="13" customWidth="1"/>
    <col min="7" max="7" width="5" style="13" customWidth="1"/>
    <col min="8" max="8" width="6" style="13" bestFit="1" customWidth="1"/>
    <col min="9" max="9" width="24.375" style="13" customWidth="1"/>
    <col min="10" max="10" width="22.125" style="13" customWidth="1"/>
    <col min="11" max="12" width="9" style="13"/>
    <col min="13" max="13" width="11.125" style="13" customWidth="1"/>
    <col min="14" max="16384" width="9" style="13"/>
  </cols>
  <sheetData>
    <row r="2" spans="2:21" x14ac:dyDescent="0.15">
      <c r="B2" s="43" t="s">
        <v>360</v>
      </c>
      <c r="C2" s="43"/>
      <c r="D2" s="43" t="s">
        <v>361</v>
      </c>
      <c r="E2" s="43" t="s">
        <v>362</v>
      </c>
      <c r="G2" s="43" t="s">
        <v>391</v>
      </c>
      <c r="H2" s="43" t="s">
        <v>392</v>
      </c>
      <c r="I2" s="43" t="s">
        <v>363</v>
      </c>
      <c r="J2" s="44"/>
      <c r="K2" s="43" t="s">
        <v>408</v>
      </c>
      <c r="L2" s="43" t="s">
        <v>364</v>
      </c>
      <c r="M2" s="43" t="s">
        <v>365</v>
      </c>
      <c r="N2" s="43" t="s">
        <v>393</v>
      </c>
      <c r="O2" s="43" t="s">
        <v>366</v>
      </c>
      <c r="P2" s="43" t="s">
        <v>409</v>
      </c>
      <c r="Q2" s="43" t="s">
        <v>410</v>
      </c>
      <c r="R2" s="43" t="s">
        <v>411</v>
      </c>
      <c r="S2" s="43" t="s">
        <v>412</v>
      </c>
      <c r="T2" s="43" t="s">
        <v>413</v>
      </c>
      <c r="U2" s="43" t="s">
        <v>362</v>
      </c>
    </row>
    <row r="3" spans="2:21" x14ac:dyDescent="0.15">
      <c r="B3" s="35" t="s">
        <v>394</v>
      </c>
      <c r="C3" s="35">
        <v>1</v>
      </c>
      <c r="D3" s="33" t="s">
        <v>395</v>
      </c>
      <c r="E3" s="34"/>
      <c r="G3" s="72" t="str">
        <f>"DELETE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PS_K_CD_SHCO_H_TBL WHERE BUSINESS_UNIT='X0801' AND DEPTID='' AND K_CD_SHPPLN_ID='';</v>
      </c>
      <c r="H3" s="72" t="str">
        <f>"SELECT *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PS_K_CD_SHCO_H_TBL WHERE BUSINESS_UNIT='X0801' AND DEPTID='' AND K_CD_SHPPLN_ID='' WITH UR;</v>
      </c>
      <c r="I3" s="46" t="s">
        <v>367</v>
      </c>
      <c r="J3" s="46" t="s">
        <v>534</v>
      </c>
      <c r="K3" s="47" t="s">
        <v>368</v>
      </c>
      <c r="L3" s="47" t="s">
        <v>369</v>
      </c>
      <c r="M3" s="47" t="s">
        <v>370</v>
      </c>
      <c r="N3" s="47"/>
      <c r="O3" s="47"/>
      <c r="P3" s="47"/>
      <c r="Q3" s="47"/>
      <c r="R3" s="47"/>
      <c r="S3" s="47"/>
      <c r="T3" s="47"/>
      <c r="U3" s="47"/>
    </row>
    <row r="4" spans="2:21" x14ac:dyDescent="0.15">
      <c r="B4" s="35" t="s">
        <v>396</v>
      </c>
      <c r="C4" s="35" t="s">
        <v>397</v>
      </c>
      <c r="D4" s="33" t="s">
        <v>492</v>
      </c>
      <c r="E4" s="34"/>
      <c r="G4" s="72" t="str">
        <f>"DELETE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PS_K_CD_CONT_H_TBL WHERE BUSINESS_UNIT='X0801' AND DEPTID='' AND K_CD_TRD_ID='';</v>
      </c>
      <c r="H4" s="72" t="str">
        <f>"SELECT *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PS_K_CD_CONT_H_TBL WHERE BUSINESS_UNIT='X0801' AND DEPTID='' AND K_CD_TRD_ID='' WITH UR;</v>
      </c>
      <c r="I4" s="46" t="s">
        <v>371</v>
      </c>
      <c r="J4" s="46" t="s">
        <v>535</v>
      </c>
      <c r="K4" s="47" t="s">
        <v>368</v>
      </c>
      <c r="L4" s="47" t="s">
        <v>369</v>
      </c>
      <c r="M4" s="47" t="s">
        <v>372</v>
      </c>
      <c r="N4" s="47"/>
      <c r="O4" s="47"/>
      <c r="P4" s="47"/>
      <c r="Q4" s="47"/>
      <c r="R4" s="47"/>
      <c r="S4" s="47"/>
      <c r="T4" s="47"/>
      <c r="U4" s="47"/>
    </row>
    <row r="5" spans="2:21" x14ac:dyDescent="0.15">
      <c r="B5" s="35" t="s">
        <v>369</v>
      </c>
      <c r="C5" s="35" t="s">
        <v>398</v>
      </c>
      <c r="D5" s="40"/>
      <c r="E5" s="34"/>
      <c r="G5" s="72" t="str">
        <f>"DELETE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PS_K_CD_CONT_B_TBL WHERE BUSINESS_UNIT='X0801' AND K_CD_TRD_ID='';</v>
      </c>
      <c r="H5" s="72" t="str">
        <f>"SELECT *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PS_K_CD_CONT_B_TBL WHERE BUSINESS_UNIT='X0801' AND K_CD_TRD_ID='' WITH UR;</v>
      </c>
      <c r="I5" s="46" t="s">
        <v>373</v>
      </c>
      <c r="J5" s="46" t="s">
        <v>536</v>
      </c>
      <c r="K5" s="47" t="s">
        <v>368</v>
      </c>
      <c r="L5" s="47"/>
      <c r="M5" s="47" t="s">
        <v>372</v>
      </c>
      <c r="N5" s="47"/>
      <c r="O5" s="47"/>
      <c r="P5" s="47"/>
      <c r="Q5" s="47"/>
      <c r="R5" s="47"/>
      <c r="S5" s="47"/>
      <c r="T5" s="47"/>
      <c r="U5" s="47"/>
    </row>
    <row r="6" spans="2:21" x14ac:dyDescent="0.15">
      <c r="B6" s="48" t="s">
        <v>399</v>
      </c>
      <c r="C6" s="48" t="s">
        <v>400</v>
      </c>
      <c r="D6" s="34"/>
      <c r="E6" s="34"/>
      <c r="G6" s="72" t="str">
        <f>"DELETE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PS_K_CD_CONTRN_TBL WHERE BUSINESS_UNIT='X0801' AND DEPTID='' AND K_CD_TRD_ID='';</v>
      </c>
      <c r="H6" s="72" t="str">
        <f>"SELECT *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PS_K_CD_CONTRN_TBL WHERE BUSINESS_UNIT='X0801' AND DEPTID='' AND K_CD_TRD_ID='' WITH UR;</v>
      </c>
      <c r="I6" s="46" t="s">
        <v>374</v>
      </c>
      <c r="J6" s="46" t="s">
        <v>537</v>
      </c>
      <c r="K6" s="47" t="s">
        <v>368</v>
      </c>
      <c r="L6" s="47" t="s">
        <v>369</v>
      </c>
      <c r="M6" s="47" t="s">
        <v>372</v>
      </c>
      <c r="N6" s="47"/>
      <c r="O6" s="47"/>
      <c r="P6" s="47"/>
      <c r="Q6" s="47"/>
      <c r="R6" s="47"/>
      <c r="S6" s="47"/>
      <c r="T6" s="47"/>
      <c r="U6" s="47"/>
    </row>
    <row r="7" spans="2:21" x14ac:dyDescent="0.15">
      <c r="B7" s="35" t="s">
        <v>401</v>
      </c>
      <c r="C7" s="35" t="s">
        <v>402</v>
      </c>
      <c r="D7" s="34"/>
      <c r="E7" s="34"/>
      <c r="G7" s="72" t="str">
        <f>"DELETE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PS_PROJECT WHERE BUSINESS_UNIT='X0801' AND PROJECT_ID='';</v>
      </c>
      <c r="H7" s="72" t="str">
        <f>"SELECT *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PS_PROJECT WHERE BUSINESS_UNIT='X0801' AND PROJECT_ID='' WITH UR;</v>
      </c>
      <c r="I7" s="46" t="s">
        <v>375</v>
      </c>
      <c r="J7" s="46" t="s">
        <v>538</v>
      </c>
      <c r="K7" s="47" t="s">
        <v>368</v>
      </c>
      <c r="L7" s="47"/>
      <c r="M7" s="47" t="s">
        <v>376</v>
      </c>
      <c r="N7" s="47"/>
      <c r="O7" s="47"/>
      <c r="P7" s="47"/>
      <c r="Q7" s="47"/>
      <c r="R7" s="47"/>
      <c r="S7" s="47"/>
      <c r="T7" s="47"/>
      <c r="U7" s="47"/>
    </row>
    <row r="8" spans="2:21" x14ac:dyDescent="0.15">
      <c r="B8" s="48" t="s">
        <v>403</v>
      </c>
      <c r="C8" s="48" t="s">
        <v>404</v>
      </c>
      <c r="D8" s="34"/>
      <c r="E8" s="34"/>
      <c r="G8" s="72" t="str">
        <f>"DELETE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PS_K_CD_SHPN_H_TBL WHERE BUSINESS_UNIT='X0801' AND DEPTID='' AND K_CD_SHPPLN_ID='';</v>
      </c>
      <c r="H8" s="72" t="str">
        <f>"SELECT *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PS_K_CD_SHPN_H_TBL WHERE BUSINESS_UNIT='X0801' AND DEPTID='' AND K_CD_SHPPLN_ID='' WITH UR;</v>
      </c>
      <c r="I8" s="49" t="s">
        <v>377</v>
      </c>
      <c r="J8" s="49" t="s">
        <v>539</v>
      </c>
      <c r="K8" s="47" t="s">
        <v>368</v>
      </c>
      <c r="L8" s="47" t="s">
        <v>369</v>
      </c>
      <c r="M8" s="47" t="s">
        <v>370</v>
      </c>
      <c r="N8" s="47"/>
      <c r="O8" s="47"/>
      <c r="P8" s="47"/>
      <c r="Q8" s="47"/>
      <c r="R8" s="47"/>
      <c r="S8" s="47"/>
      <c r="T8" s="47"/>
      <c r="U8" s="47"/>
    </row>
    <row r="9" spans="2:21" x14ac:dyDescent="0.15">
      <c r="B9" s="35" t="s">
        <v>405</v>
      </c>
      <c r="C9" s="35" t="s">
        <v>406</v>
      </c>
      <c r="D9" s="34"/>
      <c r="E9" s="34"/>
      <c r="G9" s="72" t="str">
        <f>"DELETE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PS_K_CD_SHPN_B_TBL WHERE BUSINESS_UNIT='X0801' AND K_CD_SHPPLN_ID='';</v>
      </c>
      <c r="H9" s="72" t="str">
        <f>"SELECT *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PS_K_CD_SHPN_B_TBL WHERE BUSINESS_UNIT='X0801' AND K_CD_SHPPLN_ID='' WITH UR;</v>
      </c>
      <c r="I9" s="49" t="s">
        <v>378</v>
      </c>
      <c r="J9" s="49" t="s">
        <v>540</v>
      </c>
      <c r="K9" s="47" t="s">
        <v>368</v>
      </c>
      <c r="L9" s="47"/>
      <c r="M9" s="47" t="s">
        <v>370</v>
      </c>
      <c r="N9" s="47"/>
      <c r="O9" s="47"/>
      <c r="P9" s="47"/>
      <c r="Q9" s="47"/>
      <c r="R9" s="47"/>
      <c r="S9" s="47"/>
      <c r="T9" s="47"/>
      <c r="U9" s="47"/>
    </row>
    <row r="10" spans="2:21" x14ac:dyDescent="0.15">
      <c r="B10" s="35" t="s">
        <v>407</v>
      </c>
      <c r="C10" s="35" t="s">
        <v>177</v>
      </c>
      <c r="D10" s="34"/>
      <c r="E10" s="34"/>
      <c r="G10" s="72" t="str">
        <f>"DELETE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PS_K_CD_SHPNRV_TBL WHERE BUSINESS_UNIT='X0801' AND K_CD_SHPPLN_ID='';</v>
      </c>
      <c r="H10" s="72" t="str">
        <f>"SELECT *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PS_K_CD_SHPNRV_TBL WHERE BUSINESS_UNIT='X0801' AND K_CD_SHPPLN_ID='' WITH UR;</v>
      </c>
      <c r="I10" s="49" t="s">
        <v>379</v>
      </c>
      <c r="J10" s="49" t="s">
        <v>541</v>
      </c>
      <c r="K10" s="47" t="s">
        <v>368</v>
      </c>
      <c r="L10" s="47"/>
      <c r="M10" s="47" t="s">
        <v>370</v>
      </c>
      <c r="N10" s="47"/>
      <c r="O10" s="47"/>
      <c r="P10" s="47"/>
      <c r="Q10" s="47"/>
      <c r="R10" s="47"/>
      <c r="S10" s="47"/>
      <c r="T10" s="47"/>
      <c r="U10" s="47"/>
    </row>
    <row r="11" spans="2:21" x14ac:dyDescent="0.15">
      <c r="B11" s="35" t="s">
        <v>446</v>
      </c>
      <c r="C11" s="35" t="s">
        <v>447</v>
      </c>
      <c r="D11" s="34"/>
      <c r="E11" s="34"/>
      <c r="G11" s="72" t="str">
        <f>"DELETE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PS_X_CD_SHPN_H_TBL WHERE BUSINESS_UNIT='X0801' AND K_CD_SHPPLN_ID='';</v>
      </c>
      <c r="H11" s="72" t="str">
        <f>"SELECT *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PS_X_CD_SHPN_H_TBL WHERE BUSINESS_UNIT='X0801' AND K_CD_SHPPLN_ID='' WITH UR;</v>
      </c>
      <c r="I11" s="49" t="s">
        <v>380</v>
      </c>
      <c r="J11" s="49" t="s">
        <v>542</v>
      </c>
      <c r="K11" s="47" t="s">
        <v>368</v>
      </c>
      <c r="L11" s="47"/>
      <c r="M11" s="47" t="s">
        <v>370</v>
      </c>
      <c r="N11" s="47"/>
      <c r="O11" s="47"/>
      <c r="P11" s="47"/>
      <c r="Q11" s="47"/>
      <c r="R11" s="47"/>
      <c r="S11" s="47"/>
      <c r="T11" s="47"/>
      <c r="U11" s="47"/>
    </row>
    <row r="12" spans="2:21" x14ac:dyDescent="0.15">
      <c r="B12" s="35" t="s">
        <v>450</v>
      </c>
      <c r="C12" s="35" t="s">
        <v>451</v>
      </c>
      <c r="D12" s="34"/>
      <c r="E12" s="34"/>
      <c r="G12" s="72" t="str">
        <f>"DELETE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PS_X_CD_SHPN_B_TBL WHERE BUSINESS_UNIT='X0801' AND K_CD_SHPPLN_ID='';</v>
      </c>
      <c r="H12" s="72" t="str">
        <f>"SELECT *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PS_X_CD_SHPN_B_TBL WHERE BUSINESS_UNIT='X0801' AND K_CD_SHPPLN_ID='' WITH UR;</v>
      </c>
      <c r="I12" s="49" t="s">
        <v>381</v>
      </c>
      <c r="J12" s="49" t="s">
        <v>543</v>
      </c>
      <c r="K12" s="47" t="s">
        <v>368</v>
      </c>
      <c r="L12" s="47"/>
      <c r="M12" s="47" t="s">
        <v>370</v>
      </c>
      <c r="N12" s="47"/>
      <c r="O12" s="47"/>
      <c r="P12" s="47"/>
      <c r="Q12" s="47"/>
      <c r="R12" s="47"/>
      <c r="S12" s="47"/>
      <c r="T12" s="47"/>
      <c r="U12" s="47"/>
    </row>
    <row r="13" spans="2:21" x14ac:dyDescent="0.15">
      <c r="B13" s="35" t="s">
        <v>457</v>
      </c>
      <c r="C13" s="35" t="s">
        <v>455</v>
      </c>
      <c r="D13" s="34"/>
      <c r="E13" s="34"/>
      <c r="G13" s="72" t="str">
        <f>"DELETE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PS_K_CD_ARPN_H_TBL WHERE BUSINESS_UNIT='X0801' AND DEPTID='' AND K_CD_ARVPLN_ID='';</v>
      </c>
      <c r="H13" s="72" t="str">
        <f>"SELECT *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PS_K_CD_ARPN_H_TBL WHERE BUSINESS_UNIT='X0801' AND DEPTID='' AND K_CD_ARVPLN_ID='' WITH UR;</v>
      </c>
      <c r="I13" s="50" t="s">
        <v>382</v>
      </c>
      <c r="J13" s="50" t="s">
        <v>544</v>
      </c>
      <c r="K13" s="47" t="s">
        <v>368</v>
      </c>
      <c r="L13" s="47" t="s">
        <v>369</v>
      </c>
      <c r="M13" s="47" t="s">
        <v>383</v>
      </c>
      <c r="N13" s="47"/>
      <c r="O13" s="47"/>
      <c r="P13" s="47"/>
      <c r="Q13" s="47"/>
      <c r="R13" s="47"/>
      <c r="S13" s="47"/>
      <c r="T13" s="47"/>
      <c r="U13" s="47"/>
    </row>
    <row r="14" spans="2:21" x14ac:dyDescent="0.15">
      <c r="B14" s="35" t="s">
        <v>462</v>
      </c>
      <c r="C14" s="35" t="s">
        <v>468</v>
      </c>
      <c r="D14" s="34"/>
      <c r="E14" s="34"/>
      <c r="G14" s="72" t="str">
        <f>"DELETE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PS_K_CD_ARPN_B_TBL WHERE BUSINESS_UNIT='X0801' AND K_CD_ARVPLN_ID='';</v>
      </c>
      <c r="H14" s="72" t="str">
        <f>"SELECT *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PS_K_CD_ARPN_B_TBL WHERE BUSINESS_UNIT='X0801' AND K_CD_ARVPLN_ID='' WITH UR;</v>
      </c>
      <c r="I14" s="50" t="s">
        <v>384</v>
      </c>
      <c r="J14" s="50" t="s">
        <v>545</v>
      </c>
      <c r="K14" s="47" t="s">
        <v>368</v>
      </c>
      <c r="L14" s="47"/>
      <c r="M14" s="47" t="s">
        <v>383</v>
      </c>
      <c r="N14" s="47"/>
      <c r="O14" s="47"/>
      <c r="P14" s="47"/>
      <c r="Q14" s="47"/>
      <c r="R14" s="47"/>
      <c r="S14" s="47"/>
      <c r="T14" s="47"/>
      <c r="U14" s="47"/>
    </row>
    <row r="15" spans="2:21" x14ac:dyDescent="0.15">
      <c r="G15" s="72" t="str">
        <f>"DELETE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PS_K_CD_ARPN_C_TBL WHERE BUSINESS_UNIT='X0801' AND K_CD_ARVPLN_ID='';</v>
      </c>
      <c r="H15" s="72" t="str">
        <f>"SELECT *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PS_K_CD_ARPN_C_TBL WHERE BUSINESS_UNIT='X0801' AND K_CD_ARVPLN_ID='' WITH UR;</v>
      </c>
      <c r="I15" s="50" t="s">
        <v>385</v>
      </c>
      <c r="J15" s="50" t="s">
        <v>546</v>
      </c>
      <c r="K15" s="47" t="s">
        <v>368</v>
      </c>
      <c r="L15" s="47"/>
      <c r="M15" s="47" t="s">
        <v>383</v>
      </c>
      <c r="N15" s="47"/>
      <c r="O15" s="47"/>
      <c r="P15" s="47"/>
      <c r="Q15" s="47"/>
      <c r="R15" s="47"/>
      <c r="S15" s="47"/>
      <c r="T15" s="47"/>
      <c r="U15" s="47"/>
    </row>
    <row r="16" spans="2:21" x14ac:dyDescent="0.15">
      <c r="G16" s="72" t="str">
        <f>"DELETE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PS_X_CD_ARPN_H_TBL WHERE BUSINESS_UNIT='X0801' AND K_CD_ARVPLN_ID='';</v>
      </c>
      <c r="H16" s="72" t="str">
        <f>"SELECT *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PS_X_CD_ARPN_H_TBL WHERE BUSINESS_UNIT='X0801' AND K_CD_ARVPLN_ID='' WITH UR;</v>
      </c>
      <c r="I16" s="50" t="s">
        <v>386</v>
      </c>
      <c r="J16" s="50" t="s">
        <v>547</v>
      </c>
      <c r="K16" s="47" t="s">
        <v>368</v>
      </c>
      <c r="L16" s="47"/>
      <c r="M16" s="47" t="s">
        <v>383</v>
      </c>
      <c r="N16" s="47"/>
      <c r="O16" s="47"/>
      <c r="P16" s="47"/>
      <c r="Q16" s="47"/>
      <c r="R16" s="47"/>
      <c r="S16" s="47"/>
      <c r="T16" s="47"/>
      <c r="U16" s="47"/>
    </row>
    <row r="17" spans="2:21" x14ac:dyDescent="0.15">
      <c r="B17" s="51" t="str">
        <f>CONCATENATE(B20,B21,B22,B23,B24,B25)</f>
        <v>SELECT KSC.BUSINESS_UNIT,KSC.DEPTID,KSC.K_CD_SHPPLN_ID,KSC.K_CD_ARVPLN_ID,KSC.K_CD_TRD_ID,XTB.X_CD_TRLDGR_ID,' ' AS PROJECT_ID,KSC.K_CD_DO_NO,KSCKH.K_CD_SHPCHK_ID,KSBB.K_CD_SKBIL_ID,' ' AS K_CD_ARVCHK_ID FROM PS_K_CD_SHCO_H_TBL KSC LEFT JOIN (SELECT DISTINCT XTD.BUSINESS_UNIT,XTD.X_CD_TRLDGR_ID,XTD.K_CD_SHPPLN_ID,XTD.K_CD_ARVPLN_ID FROM PS_X_CD_TRLDGB_TBL XTD WHERE XTD.BUSINESS_UNIT = 'X0801') XTB ON KSC.BUSINESS_UNIT = XTB.BUSINESS_UNIT AND KSC.K_CD_SHPPLN_ID = XTB.K_CD_SHPPLN_ID LEFT JOIN (SELECT KSK.BUSINESS_UNIT,KSK.K_CD_SHPCHK_ID,KSK.K_CD_SHPPLN_ID FROM PS_K_CD_SHCKDH_TBL KSK WHERE KSK.BUSINESS_UNIT = 'X0801') KSCKH ON KSC.BUSINESS_UNIT = KSCKH.BUSINESS_UNIT AND KSC.K_CD_SHPPLN_ID = KSCKH.K_CD_SHPPLN_ID LEFT JOIN (SELECT KSB.BUSINESS_UNIT,KSB.K_CD_SKBIL_ID,KSB.K_CD_SHPPLN_ID FROM PS_K_CD_SKBILB_TBL KSB WHERE KSB.BUSINESS_UNIT = 'X0801')  KSBB ON KSC.BUSINESS_UNIT = KSBB.BUSINESS_UNIT AND KSC.K_CD_SHPPLN_ID = KSBB.K_CD_SHPPLN_ID WHERE KSC.K_CD_SHPPLN_ID = '' WITH UR;</v>
      </c>
      <c r="C17" s="52" t="s">
        <v>493</v>
      </c>
      <c r="G17" s="72" t="str">
        <f>"DELETE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PS_X_CD_ARPN_B_TBL WHERE BUSINESS_UNIT='X0801' AND K_CD_ARVPLN_ID='';</v>
      </c>
      <c r="H17" s="72" t="str">
        <f>"SELECT *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PS_X_CD_ARPN_B_TBL WHERE BUSINESS_UNIT='X0801' AND K_CD_ARVPLN_ID='' WITH UR;</v>
      </c>
      <c r="I17" s="50" t="s">
        <v>387</v>
      </c>
      <c r="J17" s="50" t="s">
        <v>548</v>
      </c>
      <c r="K17" s="47" t="s">
        <v>368</v>
      </c>
      <c r="L17" s="47"/>
      <c r="M17" s="47" t="s">
        <v>383</v>
      </c>
      <c r="N17" s="47"/>
      <c r="O17" s="47"/>
      <c r="P17" s="47"/>
      <c r="Q17" s="47"/>
      <c r="R17" s="47"/>
      <c r="S17" s="47"/>
      <c r="T17" s="47"/>
      <c r="U17" s="47"/>
    </row>
    <row r="18" spans="2:21" x14ac:dyDescent="0.15">
      <c r="G18" s="72" t="str">
        <f>"DELETE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PS_X_CD_TRLDGH_TBL WHERE BUSINESS_UNIT='X0801' AND DEPTID='' AND X_CD_TRLDGR_ID='';</v>
      </c>
      <c r="H18" s="72" t="str">
        <f>"SELECT *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PS_X_CD_TRLDGH_TBL WHERE BUSINESS_UNIT='X0801' AND DEPTID='' AND X_CD_TRLDGR_ID='' WITH UR;</v>
      </c>
      <c r="I18" s="35" t="s">
        <v>388</v>
      </c>
      <c r="J18" s="35" t="s">
        <v>549</v>
      </c>
      <c r="K18" s="47" t="s">
        <v>368</v>
      </c>
      <c r="L18" s="47" t="s">
        <v>369</v>
      </c>
      <c r="M18" s="47" t="s">
        <v>389</v>
      </c>
      <c r="N18" s="47"/>
      <c r="O18" s="47"/>
      <c r="P18" s="47"/>
      <c r="Q18" s="47"/>
      <c r="R18" s="47"/>
      <c r="S18" s="47"/>
      <c r="T18" s="47"/>
      <c r="U18" s="47"/>
    </row>
    <row r="19" spans="2:21" x14ac:dyDescent="0.15">
      <c r="G19" s="72" t="str">
        <f>"DELETE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PS_X_CD_TRLDGB_TBL WHERE BUSINESS_UNIT='X0801' AND X_CD_TRLDGR_ID='';</v>
      </c>
      <c r="H19" s="72" t="str">
        <f>"SELECT *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PS_X_CD_TRLDGB_TBL WHERE BUSINESS_UNIT='X0801' AND X_CD_TRLDGR_ID='' WITH UR;</v>
      </c>
      <c r="I19" s="35" t="s">
        <v>390</v>
      </c>
      <c r="J19" s="35" t="s">
        <v>550</v>
      </c>
      <c r="K19" s="47" t="s">
        <v>368</v>
      </c>
      <c r="L19" s="47"/>
      <c r="M19" s="47" t="s">
        <v>389</v>
      </c>
      <c r="N19" s="47"/>
      <c r="O19" s="47"/>
      <c r="P19" s="47"/>
      <c r="Q19" s="47"/>
      <c r="R19" s="47"/>
      <c r="S19" s="47"/>
      <c r="T19" s="47"/>
      <c r="U19" s="47"/>
    </row>
    <row r="20" spans="2:21" x14ac:dyDescent="0.15">
      <c r="B20" s="53" t="str">
        <f>"SELECT KSC.BUSINESS_UNIT,KSC.DEPTID,KSC.K_CD_SHPPLN_ID,KSC.K_CD_ARVPLN_ID,KSC.K_CD_TRD_ID,XTB.X_CD_TRLDGR_ID,' ' AS PROJECT_ID,KSC.K_CD_DO_NO,KSCKH.K_CD_SHPCHK_ID,KSBB.K_CD_SKBIL_ID,' ' AS K_CD_ARVCHK_ID "</f>
        <v xml:space="preserve">SELECT KSC.BUSINESS_UNIT,KSC.DEPTID,KSC.K_CD_SHPPLN_ID,KSC.K_CD_ARVPLN_ID,KSC.K_CD_TRD_ID,XTB.X_CD_TRLDGR_ID,' ' AS PROJECT_ID,KSC.K_CD_DO_NO,KSCKH.K_CD_SHPCHK_ID,KSBB.K_CD_SKBIL_ID,' ' AS K_CD_ARVCHK_ID </v>
      </c>
      <c r="C20" s="13" t="s">
        <v>493</v>
      </c>
      <c r="G20" s="72" t="str">
        <f>"DELETE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PS_K_CD_DO_H_TBL WHERE BUSINESS_UNIT='X0801' AND K_CD_DO_NO='';</v>
      </c>
      <c r="H20" s="72" t="str">
        <f>"SELECT *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PS_K_CD_DO_H_TBL WHERE BUSINESS_UNIT='X0801' AND K_CD_DO_NO='' WITH UR;</v>
      </c>
      <c r="I20" s="35" t="s">
        <v>443</v>
      </c>
      <c r="J20" s="35" t="s">
        <v>551</v>
      </c>
      <c r="K20" s="47" t="s">
        <v>368</v>
      </c>
      <c r="L20" s="47"/>
      <c r="M20" s="47" t="s">
        <v>445</v>
      </c>
      <c r="N20" s="47"/>
      <c r="O20" s="47"/>
      <c r="P20" s="47"/>
      <c r="Q20" s="47"/>
      <c r="R20" s="47"/>
      <c r="S20" s="47"/>
      <c r="T20" s="47"/>
      <c r="U20" s="47"/>
    </row>
    <row r="21" spans="2:21" x14ac:dyDescent="0.15">
      <c r="B21" s="53" t="str">
        <f>"FROM PS_K_CD_SHCO_H_TBL KSC "</f>
        <v xml:space="preserve">FROM PS_K_CD_SHCO_H_TBL KSC </v>
      </c>
      <c r="C21" s="13" t="s">
        <v>493</v>
      </c>
      <c r="G21" s="72" t="str">
        <f>"DELETE FROM PS_"&amp;$J21&amp;IF($K21="","","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"&amp;VLOOKUP($T21,$B$3:$E275,2,FALSE)&amp;"='"&amp;VLOOKUP($T21,$B$3:$E275,3,FALSE)&amp;"'")&amp;";"</f>
        <v>DELETE FROM PS_K_CD_DO_B_TBL WHERE BUSINESS_UNIT='X0801' AND K_CD_DO_NO='';</v>
      </c>
      <c r="H21" s="72" t="str">
        <f>"SELECT * FROM PS_"&amp;$J21&amp;IF($K21="","","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 WITH UR;"</f>
        <v>SELECT * FROM PS_K_CD_DO_B_TBL WHERE BUSINESS_UNIT='X0801' AND K_CD_DO_NO='' WITH UR;</v>
      </c>
      <c r="I21" s="35" t="s">
        <v>444</v>
      </c>
      <c r="J21" s="35" t="s">
        <v>552</v>
      </c>
      <c r="K21" s="47" t="s">
        <v>368</v>
      </c>
      <c r="L21" s="47"/>
      <c r="M21" s="47" t="s">
        <v>445</v>
      </c>
      <c r="N21" s="47"/>
      <c r="O21" s="47"/>
      <c r="P21" s="47"/>
      <c r="Q21" s="47"/>
      <c r="R21" s="47"/>
      <c r="S21" s="47"/>
      <c r="T21" s="47"/>
      <c r="U21" s="47"/>
    </row>
    <row r="22" spans="2:21" x14ac:dyDescent="0.15">
      <c r="B22" s="67" t="str">
        <f>"LEFT JOIN (SELECT DISTINCT XTD.BUSINESS_UNIT,XTD.X_CD_TRLDGR_ID,XTD.K_CD_SHPPLN_ID,XTD.K_CD_ARVPLN_ID FROM PS_X_CD_TRLDGB_TBL XTD WHERE XTD.BUSINESS_UNIT = '"&amp;D4&amp;"') XTB ON KSC.BUSINESS_UNIT = XTB.BUSINESS_UNIT AND KSC.K_CD_SHPPLN_ID = XTB.K_CD_SHPPLN_ID "</f>
        <v xml:space="preserve">LEFT JOIN (SELECT DISTINCT XTD.BUSINESS_UNIT,XTD.X_CD_TRLDGR_ID,XTD.K_CD_SHPPLN_ID,XTD.K_CD_ARVPLN_ID FROM PS_X_CD_TRLDGB_TBL XTD WHERE XTD.BUSINESS_UNIT = 'X0801') XTB ON KSC.BUSINESS_UNIT = XTB.BUSINESS_UNIT AND KSC.K_CD_SHPPLN_ID = XTB.K_CD_SHPPLN_ID </v>
      </c>
      <c r="C22" s="13" t="s">
        <v>493</v>
      </c>
      <c r="G22" s="72" t="str">
        <f>"DELETE FROM PS_"&amp;$J22&amp;IF($K22="","","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"&amp;VLOOKUP($T22,$B$3:$E276,2,FALSE)&amp;"='"&amp;VLOOKUP($T22,$B$3:$E276,3,FALSE)&amp;"'")&amp;";"</f>
        <v>DELETE FROM PS_K_CD_SHCKDH_TBL WHERE BUSINESS_UNIT='X0801' AND DEPTID='' AND K_CD_SHPCHK_ID='';</v>
      </c>
      <c r="H22" s="72" t="str">
        <f>"SELECT * FROM PS_"&amp;$J22&amp;IF($K22="","","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 WITH UR;"</f>
        <v>SELECT * FROM PS_K_CD_SHCKDH_TBL WHERE BUSINESS_UNIT='X0801' AND DEPTID='' AND K_CD_SHPCHK_ID='' WITH UR;</v>
      </c>
      <c r="I22" s="54" t="s">
        <v>448</v>
      </c>
      <c r="J22" s="54" t="s">
        <v>553</v>
      </c>
      <c r="K22" s="47" t="s">
        <v>368</v>
      </c>
      <c r="L22" s="47" t="s">
        <v>369</v>
      </c>
      <c r="M22" s="47" t="s">
        <v>449</v>
      </c>
      <c r="N22" s="47"/>
      <c r="O22" s="47"/>
      <c r="P22" s="47"/>
      <c r="Q22" s="47"/>
      <c r="R22" s="47"/>
      <c r="S22" s="47"/>
      <c r="T22" s="47"/>
      <c r="U22" s="47"/>
    </row>
    <row r="23" spans="2:21" x14ac:dyDescent="0.15">
      <c r="B23" s="67" t="str">
        <f>"LEFT JOIN (SELECT KSK.BUSINESS_UNIT,KSK.K_CD_SHPCHK_ID,KSK.K_CD_SHPPLN_ID FROM PS_K_CD_SHCKDH_TBL KSK WHERE KSK.BUSINESS_UNIT = '"&amp;D4&amp;"') KSCKH ON KSC.BUSINESS_UNIT = KSCKH.BUSINESS_UNIT AND KSC.K_CD_SHPPLN_ID = KSCKH.K_CD_SHPPLN_ID "</f>
        <v xml:space="preserve">LEFT JOIN (SELECT KSK.BUSINESS_UNIT,KSK.K_CD_SHPCHK_ID,KSK.K_CD_SHPPLN_ID FROM PS_K_CD_SHCKDH_TBL KSK WHERE KSK.BUSINESS_UNIT = 'X0801') KSCKH ON KSC.BUSINESS_UNIT = KSCKH.BUSINESS_UNIT AND KSC.K_CD_SHPPLN_ID = KSCKH.K_CD_SHPPLN_ID </v>
      </c>
      <c r="C23" s="13" t="s">
        <v>494</v>
      </c>
      <c r="G23" s="72" t="str">
        <f>"DELETE FROM PS_"&amp;$J23&amp;IF($K23="","","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"&amp;VLOOKUP($T23,$B$3:$E277,2,FALSE)&amp;"='"&amp;VLOOKUP($T23,$B$3:$E277,3,FALSE)&amp;"'")&amp;";"</f>
        <v>DELETE FROM PS_K_CD_SHCKDB_TBL WHERE BUSINESS_UNIT='X0801' AND DEPTID='' AND K_CD_SHPCHK_ID='';</v>
      </c>
      <c r="H23" s="72" t="str">
        <f>"SELECT * FROM PS_"&amp;$J23&amp;IF($K23="","","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 WITH UR;"</f>
        <v>SELECT * FROM PS_K_CD_SHCKDB_TBL WHERE BUSINESS_UNIT='X0801' AND DEPTID='' AND K_CD_SHPCHK_ID='' WITH UR;</v>
      </c>
      <c r="I23" s="54" t="s">
        <v>452</v>
      </c>
      <c r="J23" s="54" t="s">
        <v>554</v>
      </c>
      <c r="K23" s="47" t="s">
        <v>368</v>
      </c>
      <c r="L23" s="47" t="s">
        <v>369</v>
      </c>
      <c r="M23" s="47" t="s">
        <v>449</v>
      </c>
      <c r="N23" s="47"/>
      <c r="O23" s="47"/>
      <c r="P23" s="47"/>
      <c r="Q23" s="47"/>
      <c r="R23" s="47"/>
      <c r="S23" s="47"/>
      <c r="T23" s="47"/>
      <c r="U23" s="47"/>
    </row>
    <row r="24" spans="2:21" x14ac:dyDescent="0.15">
      <c r="B24" s="67" t="str">
        <f>"LEFT JOIN (SELECT KSB.BUSINESS_UNIT,KSB.K_CD_SKBIL_ID,KSB.K_CD_SHPPLN_ID FROM PS_K_CD_SKBILB_TBL KSB WHERE KSB.BUSINESS_UNIT = '"&amp;D4&amp;"')  KSBB ON KSC.BUSINESS_UNIT = KSBB.BUSINESS_UNIT AND KSC.K_CD_SHPPLN_ID = KSBB.K_CD_SHPPLN_ID "</f>
        <v xml:space="preserve">LEFT JOIN (SELECT KSB.BUSINESS_UNIT,KSB.K_CD_SKBIL_ID,KSB.K_CD_SHPPLN_ID FROM PS_K_CD_SKBILB_TBL KSB WHERE KSB.BUSINESS_UNIT = 'X0801')  KSBB ON KSC.BUSINESS_UNIT = KSBB.BUSINESS_UNIT AND KSC.K_CD_SHPPLN_ID = KSBB.K_CD_SHPPLN_ID </v>
      </c>
      <c r="C24" s="13" t="s">
        <v>494</v>
      </c>
      <c r="G24" s="72" t="str">
        <f>"DELETE FROM PS_"&amp;$J24&amp;IF($K24="","","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"&amp;VLOOKUP($T24,$B$3:$E278,2,FALSE)&amp;"='"&amp;VLOOKUP($T24,$B$3:$E278,3,FALSE)&amp;"'")&amp;";"</f>
        <v>DELETE FROM PS_K_CD_SKBILH_TBL WHERE BUSINESS_UNIT='X0801' AND K_CD_SKBIL_ID='';</v>
      </c>
      <c r="H24" s="72" t="str">
        <f>"SELECT * FROM PS_"&amp;$J24&amp;IF($K24="","","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 WITH UR;"</f>
        <v>SELECT * FROM PS_K_CD_SKBILH_TBL WHERE BUSINESS_UNIT='X0801' AND K_CD_SKBIL_ID='' WITH UR;</v>
      </c>
      <c r="I24" s="54" t="s">
        <v>453</v>
      </c>
      <c r="J24" s="54" t="s">
        <v>555</v>
      </c>
      <c r="K24" s="47" t="s">
        <v>368</v>
      </c>
      <c r="L24" s="47"/>
      <c r="M24" s="47" t="s">
        <v>456</v>
      </c>
      <c r="N24" s="47"/>
      <c r="O24" s="47"/>
      <c r="P24" s="47"/>
      <c r="Q24" s="47"/>
      <c r="R24" s="47"/>
      <c r="S24" s="47"/>
      <c r="T24" s="47"/>
      <c r="U24" s="47"/>
    </row>
    <row r="25" spans="2:21" x14ac:dyDescent="0.15">
      <c r="B25" s="53" t="str">
        <f>"WHERE KSC.K_CD_SHPPLN_ID = '"&amp;D6&amp;"' WITH UR;"</f>
        <v>WHERE KSC.K_CD_SHPPLN_ID = '' WITH UR;</v>
      </c>
      <c r="C25" s="13" t="s">
        <v>493</v>
      </c>
      <c r="G25" s="72" t="str">
        <f>"DELETE FROM PS_"&amp;$J25&amp;IF($K25="","","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"&amp;VLOOKUP($T25,$B$3:$E279,2,FALSE)&amp;"='"&amp;VLOOKUP($T25,$B$3:$E279,3,FALSE)&amp;"'")&amp;";"</f>
        <v>DELETE FROM PS_K_CD_SKBILB_TBL WHERE BUSINESS_UNIT='X0801' AND K_CD_SKBIL_ID='';</v>
      </c>
      <c r="H25" s="72" t="str">
        <f>"SELECT * FROM PS_"&amp;$J25&amp;IF($K25="","","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 WITH UR;"</f>
        <v>SELECT * FROM PS_K_CD_SKBILB_TBL WHERE BUSINESS_UNIT='X0801' AND K_CD_SKBIL_ID='' WITH UR;</v>
      </c>
      <c r="I25" s="54" t="s">
        <v>454</v>
      </c>
      <c r="J25" s="54" t="s">
        <v>556</v>
      </c>
      <c r="K25" s="47" t="s">
        <v>368</v>
      </c>
      <c r="L25" s="47"/>
      <c r="M25" s="47" t="s">
        <v>456</v>
      </c>
      <c r="N25" s="47"/>
      <c r="O25" s="47"/>
      <c r="P25" s="47"/>
      <c r="Q25" s="47"/>
      <c r="R25" s="47"/>
      <c r="S25" s="47"/>
      <c r="T25" s="47"/>
      <c r="U25" s="47"/>
    </row>
    <row r="26" spans="2:21" x14ac:dyDescent="0.15">
      <c r="G26" s="72" t="str">
        <f>"DELETE FROM PS_"&amp;$J26&amp;IF($K26="","","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"&amp;VLOOKUP($T26,$B$3:$E280,2,FALSE)&amp;"='"&amp;VLOOKUP($T26,$B$3:$E280,3,FALSE)&amp;"'")&amp;";"</f>
        <v>DELETE FROM PS_K_CD_ARCK_H_TBL WHERE BUSINESS_UNIT='X0801' AND DEPTID='' AND K_CD_ARVCHK_ID='';</v>
      </c>
      <c r="H26" s="72" t="str">
        <f>"SELECT * FROM PS_"&amp;$J26&amp;IF($K26="","","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 WITH UR;"</f>
        <v>SELECT * FROM PS_K_CD_ARCK_H_TBL WHERE BUSINESS_UNIT='X0801' AND DEPTID='' AND K_CD_ARVCHK_ID='' WITH UR;</v>
      </c>
      <c r="I26" s="55" t="s">
        <v>463</v>
      </c>
      <c r="J26" s="55" t="s">
        <v>557</v>
      </c>
      <c r="K26" s="47" t="s">
        <v>368</v>
      </c>
      <c r="L26" s="47" t="s">
        <v>369</v>
      </c>
      <c r="M26" s="47" t="s">
        <v>462</v>
      </c>
      <c r="N26" s="47"/>
      <c r="O26" s="47"/>
      <c r="P26" s="47"/>
      <c r="Q26" s="47"/>
      <c r="R26" s="47"/>
      <c r="S26" s="47"/>
      <c r="T26" s="47"/>
      <c r="U26" s="47"/>
    </row>
    <row r="27" spans="2:21" x14ac:dyDescent="0.15">
      <c r="G27" s="72" t="str">
        <f>"DELETE FROM PS_"&amp;$J27&amp;IF($K27="","","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"&amp;VLOOKUP($T27,$B$3:$E281,2,FALSE)&amp;"='"&amp;VLOOKUP($T27,$B$3:$E281,3,FALSE)&amp;"'")&amp;";"</f>
        <v>DELETE FROM PS_K_CD_ARCK_B_TBL WHERE BUSINESS_UNIT='X0801' AND K_CD_ARVCHK_ID='';</v>
      </c>
      <c r="H27" s="72" t="str">
        <f>"SELECT * FROM PS_"&amp;$J27&amp;IF($K27="","","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 WITH UR;"</f>
        <v>SELECT * FROM PS_K_CD_ARCK_B_TBL WHERE BUSINESS_UNIT='X0801' AND K_CD_ARVCHK_ID='' WITH UR;</v>
      </c>
      <c r="I27" s="55" t="s">
        <v>464</v>
      </c>
      <c r="J27" s="55" t="s">
        <v>558</v>
      </c>
      <c r="K27" s="47" t="s">
        <v>368</v>
      </c>
      <c r="L27" s="47"/>
      <c r="M27" s="47" t="s">
        <v>462</v>
      </c>
      <c r="N27" s="47"/>
      <c r="O27" s="47"/>
      <c r="P27" s="47"/>
      <c r="Q27" s="47"/>
      <c r="R27" s="47"/>
      <c r="S27" s="47"/>
      <c r="T27" s="47"/>
      <c r="U27" s="47"/>
    </row>
    <row r="28" spans="2:21" x14ac:dyDescent="0.15">
      <c r="G28" s="72" t="str">
        <f>"DELETE FROM PS_"&amp;$J28&amp;IF($K28="","","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"&amp;VLOOKUP($T28,$B$3:$E282,2,FALSE)&amp;"='"&amp;VLOOKUP($T28,$B$3:$E282,3,FALSE)&amp;"'")&amp;";"</f>
        <v>DELETE FROM PS_K_CD_ARCK_C_TBL WHERE BUSINESS_UNIT='X0801' AND K_CD_ARVCHK_ID='';</v>
      </c>
      <c r="H28" s="72" t="str">
        <f>"SELECT * FROM PS_"&amp;$J28&amp;IF($K28="","","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 WITH UR;"</f>
        <v>SELECT * FROM PS_K_CD_ARCK_C_TBL WHERE BUSINESS_UNIT='X0801' AND K_CD_ARVCHK_ID='' WITH UR;</v>
      </c>
      <c r="I28" s="55" t="s">
        <v>465</v>
      </c>
      <c r="J28" s="55" t="s">
        <v>559</v>
      </c>
      <c r="K28" s="47" t="s">
        <v>368</v>
      </c>
      <c r="L28" s="47"/>
      <c r="M28" s="47" t="s">
        <v>462</v>
      </c>
      <c r="N28" s="47"/>
      <c r="O28" s="47"/>
      <c r="P28" s="47"/>
      <c r="Q28" s="47"/>
      <c r="R28" s="47"/>
      <c r="S28" s="47"/>
      <c r="T28" s="47"/>
      <c r="U28" s="47"/>
    </row>
    <row r="29" spans="2:21" x14ac:dyDescent="0.15">
      <c r="G29" s="72" t="str">
        <f>"DELETE FROM PS_"&amp;$J29&amp;IF($K29="","","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"&amp;VLOOKUP($T29,$B$3:$E283,2,FALSE)&amp;"='"&amp;VLOOKUP($T29,$B$3:$E283,3,FALSE)&amp;"'")&amp;";"</f>
        <v>DELETE FROM PS_K_CD_ARCK_U_TBL WHERE BUSINESS_UNIT='X0801' AND K_CD_ARVCHK_ID='';</v>
      </c>
      <c r="H29" s="72" t="str">
        <f>"SELECT * FROM PS_"&amp;$J29&amp;IF($K29="","","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 WITH UR;"</f>
        <v>SELECT * FROM PS_K_CD_ARCK_U_TBL WHERE BUSINESS_UNIT='X0801' AND K_CD_ARVCHK_ID='' WITH UR;</v>
      </c>
      <c r="I29" s="55" t="s">
        <v>466</v>
      </c>
      <c r="J29" s="55" t="s">
        <v>560</v>
      </c>
      <c r="K29" s="47" t="s">
        <v>368</v>
      </c>
      <c r="L29" s="47"/>
      <c r="M29" s="47" t="s">
        <v>462</v>
      </c>
      <c r="N29" s="47"/>
      <c r="O29" s="47"/>
      <c r="P29" s="47"/>
      <c r="Q29" s="47"/>
      <c r="R29" s="47"/>
      <c r="S29" s="47"/>
      <c r="T29" s="47"/>
      <c r="U29" s="47"/>
    </row>
    <row r="30" spans="2:21" x14ac:dyDescent="0.15">
      <c r="G30" s="72" t="str">
        <f>"DELETE FROM PS_"&amp;$J30&amp;IF($K30="","","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"&amp;VLOOKUP($T30,$B$3:$E284,2,FALSE)&amp;"='"&amp;VLOOKUP($T30,$B$3:$E284,3,FALSE)&amp;"'")&amp;";"</f>
        <v>DELETE FROM PS_K_CD_ARCK_N_TBL WHERE BUSINESS_UNIT='X0801' AND K_CD_ARVCHK_ID='';</v>
      </c>
      <c r="H30" s="72" t="str">
        <f>"SELECT * FROM PS_"&amp;$J30&amp;IF($K30="","","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 WITH UR;"</f>
        <v>SELECT * FROM PS_K_CD_ARCK_N_TBL WHERE BUSINESS_UNIT='X0801' AND K_CD_ARVCHK_ID='' WITH UR;</v>
      </c>
      <c r="I30" s="55" t="s">
        <v>467</v>
      </c>
      <c r="J30" s="55" t="s">
        <v>561</v>
      </c>
      <c r="K30" s="47" t="s">
        <v>368</v>
      </c>
      <c r="L30" s="47"/>
      <c r="M30" s="47" t="s">
        <v>462</v>
      </c>
      <c r="N30" s="47"/>
      <c r="O30" s="47"/>
      <c r="P30" s="47"/>
      <c r="Q30" s="47"/>
      <c r="R30" s="47"/>
      <c r="S30" s="47"/>
      <c r="T30" s="47"/>
      <c r="U30" s="47"/>
    </row>
    <row r="32" spans="2:21" x14ac:dyDescent="0.15">
      <c r="B32" s="56" t="s">
        <v>478</v>
      </c>
      <c r="C32" s="57"/>
      <c r="D32" s="57"/>
      <c r="E32" s="58"/>
    </row>
    <row r="33" spans="1:5" x14ac:dyDescent="0.15">
      <c r="B33" s="59" t="s">
        <v>479</v>
      </c>
      <c r="C33" s="60"/>
      <c r="D33" s="60"/>
      <c r="E33" s="61"/>
    </row>
    <row r="34" spans="1:5" x14ac:dyDescent="0.15">
      <c r="B34" s="59" t="s">
        <v>480</v>
      </c>
      <c r="C34" s="60"/>
      <c r="D34" s="60"/>
      <c r="E34" s="61"/>
    </row>
    <row r="35" spans="1:5" x14ac:dyDescent="0.15">
      <c r="B35" s="59" t="s">
        <v>481</v>
      </c>
      <c r="C35" s="60"/>
      <c r="D35" s="60"/>
      <c r="E35" s="61"/>
    </row>
    <row r="36" spans="1:5" x14ac:dyDescent="0.15">
      <c r="B36" s="59" t="s">
        <v>482</v>
      </c>
      <c r="C36" s="60"/>
      <c r="D36" s="60"/>
      <c r="E36" s="61"/>
    </row>
    <row r="37" spans="1:5" x14ac:dyDescent="0.15">
      <c r="B37" s="59" t="s">
        <v>483</v>
      </c>
      <c r="C37" s="60"/>
      <c r="D37" s="60"/>
      <c r="E37" s="61"/>
    </row>
    <row r="38" spans="1:5" x14ac:dyDescent="0.15">
      <c r="B38" s="59" t="s">
        <v>484</v>
      </c>
      <c r="C38" s="60"/>
      <c r="D38" s="60"/>
      <c r="E38" s="61"/>
    </row>
    <row r="39" spans="1:5" x14ac:dyDescent="0.15">
      <c r="B39" s="59" t="s">
        <v>485</v>
      </c>
      <c r="C39" s="60"/>
      <c r="D39" s="60"/>
      <c r="E39" s="61"/>
    </row>
    <row r="40" spans="1:5" x14ac:dyDescent="0.15">
      <c r="B40" s="59" t="s">
        <v>486</v>
      </c>
      <c r="C40" s="60"/>
      <c r="D40" s="60"/>
      <c r="E40" s="61"/>
    </row>
    <row r="41" spans="1:5" x14ac:dyDescent="0.15">
      <c r="B41" s="59" t="s">
        <v>487</v>
      </c>
      <c r="C41" s="60"/>
      <c r="D41" s="60"/>
      <c r="E41" s="61"/>
    </row>
    <row r="42" spans="1:5" x14ac:dyDescent="0.15">
      <c r="B42" s="59" t="s">
        <v>488</v>
      </c>
      <c r="C42" s="60"/>
      <c r="D42" s="60"/>
      <c r="E42" s="61"/>
    </row>
    <row r="43" spans="1:5" x14ac:dyDescent="0.15">
      <c r="B43" s="59" t="s">
        <v>489</v>
      </c>
      <c r="C43" s="60"/>
      <c r="D43" s="60"/>
      <c r="E43" s="61"/>
    </row>
    <row r="44" spans="1:5" x14ac:dyDescent="0.15">
      <c r="B44" s="59" t="s">
        <v>490</v>
      </c>
      <c r="C44" s="60"/>
      <c r="D44" s="60"/>
      <c r="E44" s="61"/>
    </row>
    <row r="45" spans="1:5" x14ac:dyDescent="0.15">
      <c r="A45" s="13" t="s">
        <v>496</v>
      </c>
      <c r="B45" s="66" t="str">
        <f>"    LEFT JOIN (SELECT DISTINCT XTD.BUSINESS_UNIT,XTD.X_CD_TRLDGR_ID,XTD.K_CD_SHPPLN_ID,XTD.K_CD_ARVPLN_ID FROM PS_X_CD_TRLDGB_TBL XTD WHERE XTD.BUSINESS_UNIT = '"&amp;D4&amp;"') XTB ON KSC.BUSINESS_UNIT = XTB.BUSINESS_UNIT AND KSC.K_CD_SHPPLN_ID = XTB.K_CD_SHPPLN_ID"</f>
        <v xml:space="preserve">    LEFT JOIN (SELECT DISTINCT XTD.BUSINESS_UNIT,XTD.X_CD_TRLDGR_ID,XTD.K_CD_SHPPLN_ID,XTD.K_CD_ARVPLN_ID FROM PS_X_CD_TRLDGB_TBL XTD WHERE XTD.BUSINESS_UNIT = 'X0801') XTB ON KSC.BUSINESS_UNIT = XTB.BUSINESS_UNIT AND KSC.K_CD_SHPPLN_ID = XTB.K_CD_SHPPLN_ID</v>
      </c>
      <c r="C45" s="60"/>
      <c r="D45" s="60"/>
      <c r="E45" s="61"/>
    </row>
    <row r="46" spans="1:5" x14ac:dyDescent="0.15">
      <c r="A46" s="13" t="s">
        <v>496</v>
      </c>
      <c r="B46" s="66" t="str">
        <f>"    LEFT JOIN (SELECT KSK.BUSINESS_UNIT,KSK.K_CD_SHPCHK_ID,KSK.K_CD_SHPPLN_ID FROM PS_K_CD_SHCKDH_TBL KSK WHERE KSK.BUSINESS_UNIT = '"&amp;D4&amp;"') KSCKH ON KSC.BUSINESS_UNIT = KSCKH.BUSINESS_UNIT AND KSC.K_CD_SHPPLN_ID = KSCKH.K_CD_SHPPLN_ID"</f>
        <v xml:space="preserve">    LEFT JOIN (SELECT KSK.BUSINESS_UNIT,KSK.K_CD_SHPCHK_ID,KSK.K_CD_SHPPLN_ID FROM PS_K_CD_SHCKDH_TBL KSK WHERE KSK.BUSINESS_UNIT = 'X0801') KSCKH ON KSC.BUSINESS_UNIT = KSCKH.BUSINESS_UNIT AND KSC.K_CD_SHPPLN_ID = KSCKH.K_CD_SHPPLN_ID</v>
      </c>
      <c r="C46" s="60"/>
      <c r="D46" s="60"/>
      <c r="E46" s="61"/>
    </row>
    <row r="47" spans="1:5" x14ac:dyDescent="0.15">
      <c r="A47" s="13" t="s">
        <v>496</v>
      </c>
      <c r="B47" s="66" t="str">
        <f>"    LEFT JOIN (SELECT KSB.BUSINESS_UNIT,KSB.K_CD_SKBIL_ID,KSB.K_CD_SHPPLN_ID FROM PS_K_CD_SKBILB_TBL KSB WHERE KSB.BUSINESS_UNIT = '"&amp;D4&amp;"')  KSBB ON KSC.BUSINESS_UNIT = KSBB.BUSINESS_UNIT AND KSC.K_CD_SHPPLN_ID = KSBB.K_CD_SHPPLN_ID"</f>
        <v xml:space="preserve">    LEFT JOIN (SELECT KSB.BUSINESS_UNIT,KSB.K_CD_SKBIL_ID,KSB.K_CD_SHPPLN_ID FROM PS_K_CD_SKBILB_TBL KSB WHERE KSB.BUSINESS_UNIT = 'X0801')  KSBB ON KSC.BUSINESS_UNIT = KSBB.BUSINESS_UNIT AND KSC.K_CD_SHPPLN_ID = KSBB.K_CD_SHPPLN_ID</v>
      </c>
      <c r="C47" s="60"/>
      <c r="D47" s="60"/>
      <c r="E47" s="61"/>
    </row>
    <row r="48" spans="1:5" x14ac:dyDescent="0.15">
      <c r="A48" s="13" t="s">
        <v>496</v>
      </c>
      <c r="B48" s="66" t="str">
        <f>"WHERE KSC.K_CD_SHPPLN_ID = '"&amp;D6&amp;"'"</f>
        <v>WHERE KSC.K_CD_SHPPLN_ID = ''</v>
      </c>
      <c r="C48" s="60"/>
      <c r="D48" s="60"/>
      <c r="E48" s="61"/>
    </row>
    <row r="49" spans="2:5" x14ac:dyDescent="0.15">
      <c r="B49" s="62" t="s">
        <v>491</v>
      </c>
      <c r="C49" s="63"/>
      <c r="D49" s="63"/>
      <c r="E49" s="64"/>
    </row>
  </sheetData>
  <dataConsolidate/>
  <phoneticPr fontId="2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C38"/>
  <sheetViews>
    <sheetView zoomScale="85" zoomScaleNormal="85" workbookViewId="0">
      <selection activeCell="J1" sqref="J1"/>
    </sheetView>
  </sheetViews>
  <sheetFormatPr defaultRowHeight="13.5" x14ac:dyDescent="0.15"/>
  <cols>
    <col min="1" max="1" width="9" style="25"/>
    <col min="2" max="2" width="12.375" customWidth="1"/>
    <col min="3" max="3" width="18.5" customWidth="1"/>
    <col min="4" max="4" width="13.75" bestFit="1" customWidth="1"/>
    <col min="6" max="6" width="14.25" customWidth="1"/>
    <col min="7" max="7" width="15.5" bestFit="1" customWidth="1"/>
    <col min="22" max="22" width="15.375" customWidth="1"/>
    <col min="23" max="23" width="11.25" customWidth="1"/>
  </cols>
  <sheetData>
    <row r="1" spans="1:185" x14ac:dyDescent="0.15">
      <c r="A1" s="73" t="str">
        <f ca="1">"DELETE FROM PS_"&amp;$E1&amp;" WHERE "&amp;$G1&amp;"='"&amp;$C$1&amp;"' AND "&amp;$H1&amp;" = '"&amp;$C$3&amp;"';"</f>
        <v>DELETE FROM PS_GROUP_CONTROL WHERE GROUP_BU='KGJPN' AND GROUP_ID = 'CD2016031500020';</v>
      </c>
      <c r="B1" s="19" t="s">
        <v>40</v>
      </c>
      <c r="C1" s="26" t="s">
        <v>42</v>
      </c>
      <c r="E1" t="s">
        <v>562</v>
      </c>
      <c r="G1" s="18" t="s">
        <v>206</v>
      </c>
      <c r="H1" s="18" t="s">
        <v>207</v>
      </c>
      <c r="J1" s="73" t="str">
        <f ca="1">"SELECT * FROM PS_"&amp;$E1&amp;" WHERE "&amp;$G1&amp;"='"&amp;$C$1&amp;"' AND "&amp;$H1&amp;" = '"&amp;$C$3&amp;"';"</f>
        <v>SELECT * FROM PS_GROUP_CONTROL WHERE GROUP_BU='KGJPN' AND GROUP_ID = 'CD2016031500020';</v>
      </c>
    </row>
    <row r="2" spans="1:185" x14ac:dyDescent="0.15">
      <c r="A2" s="73" t="str">
        <f t="shared" ref="A2:A8" ca="1" si="0">"DELETE FROM PS_"&amp;$E2&amp;" WHERE "&amp;$G2&amp;"='"&amp;$C$1&amp;"' AND "&amp;$H2&amp;" = '"&amp;$C$3&amp;"';"</f>
        <v>DELETE FROM PS_PENDING_ITEM WHERE GROUP_BU='KGJPN' AND ITEM = 'CD2016031500020';</v>
      </c>
      <c r="B2" s="19" t="s">
        <v>41</v>
      </c>
      <c r="C2" s="31" t="s">
        <v>414</v>
      </c>
      <c r="E2" t="s">
        <v>563</v>
      </c>
      <c r="G2" s="18" t="s">
        <v>206</v>
      </c>
      <c r="H2" s="18" t="s">
        <v>46</v>
      </c>
      <c r="J2" s="73" t="str">
        <f t="shared" ref="J2:J8" ca="1" si="1">"SELECT * FROM PS_"&amp;$E2&amp;" WHERE "&amp;$G2&amp;"='"&amp;$C$1&amp;"' AND "&amp;$H2&amp;" = '"&amp;$C$3&amp;"';"</f>
        <v>SELECT * FROM PS_PENDING_ITEM WHERE GROUP_BU='KGJPN' AND ITEM = 'CD2016031500020';</v>
      </c>
    </row>
    <row r="3" spans="1:185" x14ac:dyDescent="0.15">
      <c r="A3" s="73" t="str">
        <f t="shared" ca="1" si="0"/>
        <v>DELETE FROM PS_PENDING_DST WHERE GROUP_BU='KGJPN' AND ITEM = 'CD2016031500020';</v>
      </c>
      <c r="B3" s="19" t="s">
        <v>64</v>
      </c>
      <c r="C3" s="31" t="str">
        <f ca="1">"CD2016"&amp;REPT("0",2-LENB(MONTH(TODAY())))&amp;MONTH(TODAY())&amp;REPT("0",2-LENB(DAY(TODAY())))&amp;DAY(TODAY())&amp;"00020"</f>
        <v>CD2016031500020</v>
      </c>
      <c r="E3" t="s">
        <v>564</v>
      </c>
      <c r="G3" s="18" t="s">
        <v>206</v>
      </c>
      <c r="H3" s="18" t="s">
        <v>46</v>
      </c>
      <c r="J3" s="73" t="str">
        <f t="shared" ca="1" si="1"/>
        <v>SELECT * FROM PS_PENDING_DST WHERE GROUP_BU='KGJPN' AND ITEM = 'CD2016031500020';</v>
      </c>
    </row>
    <row r="4" spans="1:185" x14ac:dyDescent="0.15">
      <c r="A4" s="73" t="str">
        <f t="shared" ca="1" si="0"/>
        <v>DELETE FROM PS_PENDING_VAT WHERE GROUP_BU='KGJPN' AND ITEM = 'CD2016031500020';</v>
      </c>
      <c r="B4" s="19" t="s">
        <v>228</v>
      </c>
      <c r="C4" s="32">
        <f>$C$5*1.08</f>
        <v>216000</v>
      </c>
      <c r="E4" t="s">
        <v>565</v>
      </c>
      <c r="G4" s="18" t="s">
        <v>206</v>
      </c>
      <c r="H4" s="18" t="s">
        <v>46</v>
      </c>
      <c r="J4" s="73" t="str">
        <f t="shared" ca="1" si="1"/>
        <v>SELECT * FROM PS_PENDING_VAT WHERE GROUP_BU='KGJPN' AND ITEM = 'CD2016031500020';</v>
      </c>
    </row>
    <row r="5" spans="1:185" x14ac:dyDescent="0.15">
      <c r="A5" s="73" t="str">
        <f t="shared" ca="1" si="0"/>
        <v>DELETE FROM PS_ITEM_ACTIVITY WHERE BUSINESS_UNIT='KGJPN' AND ITEM = 'CD2016031500020';</v>
      </c>
      <c r="B5" s="19" t="s">
        <v>358</v>
      </c>
      <c r="C5" s="27">
        <v>200000</v>
      </c>
      <c r="E5" t="s">
        <v>566</v>
      </c>
      <c r="G5" s="18" t="s">
        <v>35</v>
      </c>
      <c r="H5" s="18" t="s">
        <v>46</v>
      </c>
      <c r="J5" s="73" t="str">
        <f t="shared" ca="1" si="1"/>
        <v>SELECT * FROM PS_ITEM_ACTIVITY WHERE BUSINESS_UNIT='KGJPN' AND ITEM = 'CD2016031500020';</v>
      </c>
    </row>
    <row r="6" spans="1:185" x14ac:dyDescent="0.15">
      <c r="A6" s="73" t="str">
        <f t="shared" ca="1" si="0"/>
        <v>DELETE FROM PS_ITEM WHERE BUSINESS_UNIT='KGJPN' AND ITEM = 'CD2016031500020';</v>
      </c>
      <c r="B6" s="19" t="s">
        <v>415</v>
      </c>
      <c r="C6" s="32">
        <f>$C$4-$C$5</f>
        <v>16000</v>
      </c>
      <c r="E6" t="s">
        <v>46</v>
      </c>
      <c r="G6" s="18" t="s">
        <v>35</v>
      </c>
      <c r="H6" s="18" t="s">
        <v>46</v>
      </c>
      <c r="J6" s="73" t="str">
        <f t="shared" ca="1" si="1"/>
        <v>SELECT * FROM PS_ITEM WHERE BUSINESS_UNIT='KGJPN' AND ITEM = 'CD2016031500020';</v>
      </c>
    </row>
    <row r="7" spans="1:185" x14ac:dyDescent="0.15">
      <c r="A7" s="73" t="str">
        <f t="shared" ca="1" si="0"/>
        <v>DELETE FROM PS_ITEM_ACT_VAT WHERE BUSINESS_UNIT='KGJPN' AND ITEM = 'CD2016031500020';</v>
      </c>
      <c r="B7" s="19" t="s">
        <v>297</v>
      </c>
      <c r="C7" s="27" t="s">
        <v>416</v>
      </c>
      <c r="E7" t="s">
        <v>567</v>
      </c>
      <c r="G7" s="18" t="s">
        <v>35</v>
      </c>
      <c r="H7" s="18" t="s">
        <v>46</v>
      </c>
      <c r="J7" s="73" t="str">
        <f t="shared" ca="1" si="1"/>
        <v>SELECT * FROM PS_ITEM_ACT_VAT WHERE BUSINESS_UNIT='KGJPN' AND ITEM = 'CD2016031500020';</v>
      </c>
    </row>
    <row r="8" spans="1:185" x14ac:dyDescent="0.15">
      <c r="A8" s="73" t="str">
        <f t="shared" ca="1" si="0"/>
        <v>DELETE FROM PS_ITEM_DST WHERE BUSINESS_UNIT='KGJPN' AND ITEM = 'CD2016031500020';</v>
      </c>
      <c r="E8" t="s">
        <v>568</v>
      </c>
      <c r="G8" s="28" t="s">
        <v>35</v>
      </c>
      <c r="H8" s="28" t="s">
        <v>46</v>
      </c>
      <c r="J8" s="73" t="str">
        <f t="shared" ca="1" si="1"/>
        <v>SELECT * FROM PS_ITEM_DST WHERE BUSINESS_UNIT='KGJPN' AND ITEM = 'CD2016031500020';</v>
      </c>
    </row>
    <row r="9" spans="1:185" s="30" customFormat="1" x14ac:dyDescent="0.15">
      <c r="A9" s="29"/>
    </row>
    <row r="11" spans="1:185" x14ac:dyDescent="0.15">
      <c r="A11" s="25" t="str">
        <f ca="1">"--"&amp;C3</f>
        <v>--CD2016031500020</v>
      </c>
      <c r="B11" s="3" t="s">
        <v>417</v>
      </c>
      <c r="E11" t="s">
        <v>418</v>
      </c>
    </row>
    <row r="12" spans="1:185" x14ac:dyDescent="0.15">
      <c r="A12" s="25" t="str">
        <f>AT12</f>
        <v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v>
      </c>
      <c r="B12" s="18" t="s">
        <v>206</v>
      </c>
      <c r="C12" s="18" t="s">
        <v>207</v>
      </c>
      <c r="D12" s="18" t="s">
        <v>305</v>
      </c>
      <c r="E12" s="18" t="s">
        <v>332</v>
      </c>
      <c r="F12" s="18" t="s">
        <v>35</v>
      </c>
      <c r="G12" s="18" t="s">
        <v>218</v>
      </c>
      <c r="H12" s="18" t="s">
        <v>333</v>
      </c>
      <c r="I12" s="18" t="s">
        <v>334</v>
      </c>
      <c r="J12" s="18" t="s">
        <v>335</v>
      </c>
      <c r="K12" s="18" t="s">
        <v>336</v>
      </c>
      <c r="L12" s="18" t="s">
        <v>321</v>
      </c>
      <c r="M12" s="18" t="s">
        <v>337</v>
      </c>
      <c r="N12" s="18" t="s">
        <v>338</v>
      </c>
      <c r="O12" s="18" t="s">
        <v>339</v>
      </c>
      <c r="P12" s="18" t="s">
        <v>340</v>
      </c>
      <c r="Q12" s="18" t="s">
        <v>341</v>
      </c>
      <c r="R12" s="18" t="s">
        <v>208</v>
      </c>
      <c r="S12" s="18" t="s">
        <v>216</v>
      </c>
      <c r="T12" s="18" t="s">
        <v>342</v>
      </c>
      <c r="U12" s="18" t="s">
        <v>343</v>
      </c>
      <c r="V12" s="18" t="s">
        <v>70</v>
      </c>
      <c r="W12" s="36" t="s">
        <v>68</v>
      </c>
      <c r="X12" s="18" t="s">
        <v>63</v>
      </c>
      <c r="Y12" s="18" t="s">
        <v>344</v>
      </c>
      <c r="Z12" s="18" t="s">
        <v>345</v>
      </c>
      <c r="AA12" s="18" t="s">
        <v>203</v>
      </c>
      <c r="AB12" s="18" t="s">
        <v>204</v>
      </c>
      <c r="AC12" s="18" t="s">
        <v>205</v>
      </c>
      <c r="AD12" s="18" t="s">
        <v>217</v>
      </c>
      <c r="AE12" s="18" t="s">
        <v>211</v>
      </c>
      <c r="AF12" s="18" t="s">
        <v>212</v>
      </c>
      <c r="AG12" s="18" t="s">
        <v>213</v>
      </c>
      <c r="AH12" s="18" t="s">
        <v>214</v>
      </c>
      <c r="AI12" s="18" t="s">
        <v>325</v>
      </c>
      <c r="AJ12" s="18" t="s">
        <v>346</v>
      </c>
      <c r="AK12" s="18" t="s">
        <v>210</v>
      </c>
      <c r="AL12" s="18" t="s">
        <v>347</v>
      </c>
      <c r="AM12" s="18" t="s">
        <v>348</v>
      </c>
      <c r="AN12" s="18" t="s">
        <v>349</v>
      </c>
      <c r="AO12" s="18" t="s">
        <v>139</v>
      </c>
      <c r="AP12" s="18" t="s">
        <v>140</v>
      </c>
      <c r="AQ12" s="18" t="s">
        <v>141</v>
      </c>
      <c r="AR12" s="18" t="s">
        <v>224</v>
      </c>
      <c r="AS12" s="18" t="s">
        <v>227</v>
      </c>
      <c r="AT12" t="s">
        <v>419</v>
      </c>
    </row>
    <row r="13" spans="1:185" x14ac:dyDescent="0.15">
      <c r="A13" s="25" t="str">
        <f ca="1">AT13</f>
        <v>('KGJPN','CD2016031500020','PSBATCH','PSBATCH','KGJPN','B','I','E','C','A',216000,1,216000,1,216000,1,1,'PSCD1','2016-04-01','2016-04-01','2016-04-02','2016-03-31',0,'I',' ',' ',' ',0,' ',' ',' ',0,1,'JPY','JPY',0,'Y',' ','N','KGJPN','0005','0018',' ',' ');</v>
      </c>
      <c r="B13" s="15" t="str">
        <f>$C$1</f>
        <v>KGJPN</v>
      </c>
      <c r="C13" s="24" t="str">
        <f ca="1">$C$3</f>
        <v>CD2016031500020</v>
      </c>
      <c r="D13" s="20" t="s">
        <v>331</v>
      </c>
      <c r="E13" s="20" t="s">
        <v>331</v>
      </c>
      <c r="F13" s="15" t="str">
        <f>$C$1</f>
        <v>KGJPN</v>
      </c>
      <c r="G13" s="20" t="s">
        <v>230</v>
      </c>
      <c r="H13" s="20" t="s">
        <v>196</v>
      </c>
      <c r="I13" s="20" t="s">
        <v>330</v>
      </c>
      <c r="J13" s="20" t="s">
        <v>188</v>
      </c>
      <c r="K13" s="20" t="s">
        <v>301</v>
      </c>
      <c r="L13" s="23">
        <f>$C$4</f>
        <v>216000</v>
      </c>
      <c r="M13" s="21">
        <v>1</v>
      </c>
      <c r="N13" s="23">
        <f>$C$4</f>
        <v>216000</v>
      </c>
      <c r="O13" s="21">
        <v>1</v>
      </c>
      <c r="P13" s="23">
        <f>$C$4</f>
        <v>216000</v>
      </c>
      <c r="Q13" s="21">
        <v>1</v>
      </c>
      <c r="R13" s="21">
        <v>1</v>
      </c>
      <c r="S13" s="20" t="s">
        <v>229</v>
      </c>
      <c r="T13" s="22">
        <v>42461</v>
      </c>
      <c r="U13" s="22">
        <v>42461</v>
      </c>
      <c r="V13" s="22">
        <v>42462</v>
      </c>
      <c r="W13" s="22">
        <v>42460</v>
      </c>
      <c r="X13" s="21">
        <v>0</v>
      </c>
      <c r="Y13" s="20" t="s">
        <v>196</v>
      </c>
      <c r="Z13" s="20" t="s">
        <v>43</v>
      </c>
      <c r="AA13" s="20" t="s">
        <v>43</v>
      </c>
      <c r="AB13" s="20" t="s">
        <v>43</v>
      </c>
      <c r="AC13" s="21">
        <v>0</v>
      </c>
      <c r="AD13" s="20" t="s">
        <v>43</v>
      </c>
      <c r="AE13" s="20" t="s">
        <v>43</v>
      </c>
      <c r="AF13" s="20" t="s">
        <v>43</v>
      </c>
      <c r="AG13" s="21">
        <v>0</v>
      </c>
      <c r="AH13" s="21">
        <v>1</v>
      </c>
      <c r="AI13" s="20" t="s">
        <v>193</v>
      </c>
      <c r="AJ13" s="20" t="s">
        <v>193</v>
      </c>
      <c r="AK13" s="21">
        <v>0</v>
      </c>
      <c r="AL13" s="20" t="s">
        <v>0</v>
      </c>
      <c r="AM13" s="20" t="s">
        <v>43</v>
      </c>
      <c r="AN13" s="20" t="s">
        <v>65</v>
      </c>
      <c r="AO13" s="20" t="str">
        <f>$C$1</f>
        <v>KGJPN</v>
      </c>
      <c r="AP13" s="20" t="s">
        <v>199</v>
      </c>
      <c r="AQ13" s="20" t="s">
        <v>200</v>
      </c>
      <c r="AR13" s="20" t="s">
        <v>43</v>
      </c>
      <c r="AS13" s="20" t="s">
        <v>43</v>
      </c>
      <c r="AT13" t="str">
        <f ca="1">AU13&amp;AV13&amp;AW13&amp;AX13&amp;AY13&amp;AZ13&amp;BA13&amp;BB13&amp;BC13&amp;BD13&amp;BE13&amp;BF13&amp;BG13&amp;BH13&amp;BI13&amp;BJ13</f>
        <v>('KGJPN','CD2016031500020','PSBATCH','PSBATCH','KGJPN','B','I','E','C','A',216000,1,216000,1,216000,1,1,'PSCD1','2016-04-01','2016-04-01','2016-04-02','2016-03-31',0,'I',' ',' ',' ',0,' ',' ',' ',0,1,'JPY','JPY',0,'Y',' ','N','KGJPN','0005','0018',' ',' ');</v>
      </c>
      <c r="AU13" t="str">
        <f ca="1">""&amp;"('"&amp;B13&amp;"'"&amp;",'"&amp;C13&amp;"'"&amp;",'"&amp;D13&amp;"'"&amp;",'"&amp;E13&amp;"'"&amp;",'"&amp;F13&amp;"'"&amp;",'"&amp;G13&amp;"'"&amp;",'"&amp;H13&amp;"'"&amp;",'"&amp;I13&amp;"'"&amp;",'"&amp;J13&amp;"'"&amp;",'"&amp;K13&amp;"'"&amp;","&amp;L13&amp;","&amp;M13&amp;","&amp;N13&amp;","&amp;O13&amp;","&amp;P13</f>
        <v>('KGJPN','CD2016031500020','PSBATCH','PSBATCH','KGJPN','B','I','E','C','A',216000,1,216000,1,216000</v>
      </c>
      <c r="AV13" t="str">
        <f>""&amp;","&amp;Q13&amp;","&amp;R13&amp;",'"&amp;S13&amp;"'"&amp;","&amp;IF(T13=0,"null",TEXT(T13,"'yyyy-mm-dd'"))&amp;","&amp;IF(U13=0,"null",TEXT(U13,"'yyyy-mm-dd'"))&amp;","&amp;IF(V13=0,"null",TEXT(V13,"'yyyy-mm-dd'"))&amp;","&amp;IF(W13=0,"null",TEXT(W13,"'yyyy-mm-dd'"))&amp;","&amp;X13&amp;",'"&amp;Y13&amp;"'"&amp;",'"&amp;Z13&amp;"'"&amp;",'"&amp;AA13&amp;"'"&amp;",'"&amp;AB13&amp;"'"&amp;","&amp;AC13&amp;",'"&amp;AD13&amp;"'"&amp;",'"&amp;AE13&amp;"'"&amp;",'"&amp;AF13&amp;"'"</f>
        <v>,1,1,'PSCD1','2016-04-01','2016-04-01','2016-04-02','2016-03-31',0,'I',' ',' ',' ',0,' ',' ',' '</v>
      </c>
      <c r="AW13" t="str">
        <f>""&amp;","&amp;AG13&amp;","&amp;AH13&amp;",'"&amp;AI13&amp;"'"&amp;",'"&amp;AJ13&amp;"'"&amp;","&amp;AK13&amp;",'"&amp;AL13&amp;"'"&amp;",'"&amp;AM13&amp;"'"&amp;",'"&amp;AN13&amp;"'"&amp;",'"&amp;AO13&amp;"'"&amp;",'"&amp;AP13&amp;"'"&amp;",'"&amp;AQ13&amp;"'"&amp;",'"&amp;AR13&amp;"'"&amp;",'"&amp;AS13&amp;"'"</f>
        <v>,0,1,'JPY','JPY',0,'Y',' ','N','KGJPN','0005','0018',' ',' '</v>
      </c>
      <c r="AX13" t="str">
        <f>""</f>
        <v/>
      </c>
      <c r="AY13" t="str">
        <f>""</f>
        <v/>
      </c>
      <c r="AZ13" t="str">
        <f>""</f>
        <v/>
      </c>
      <c r="BA13" t="str">
        <f>""</f>
        <v/>
      </c>
      <c r="BB13" t="str">
        <f>""</f>
        <v/>
      </c>
      <c r="BC13" t="str">
        <f>""</f>
        <v/>
      </c>
      <c r="BD13" t="str">
        <f>""</f>
        <v/>
      </c>
      <c r="BE13" t="str">
        <f>""</f>
        <v/>
      </c>
      <c r="BF13" t="str">
        <f>""</f>
        <v/>
      </c>
      <c r="BG13" t="str">
        <f>""</f>
        <v/>
      </c>
      <c r="BH13" t="str">
        <f>""</f>
        <v/>
      </c>
      <c r="BI13" t="str">
        <f>""</f>
        <v/>
      </c>
      <c r="BJ13" t="s">
        <v>420</v>
      </c>
    </row>
    <row r="14" spans="1:185" hidden="1" x14ac:dyDescent="0.15">
      <c r="B14" s="3" t="s">
        <v>421</v>
      </c>
      <c r="E14" t="s">
        <v>422</v>
      </c>
    </row>
    <row r="15" spans="1:185" x14ac:dyDescent="0.15">
      <c r="A15" s="25" t="str">
        <f>FM15</f>
        <v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v>
      </c>
      <c r="B15" s="18" t="s">
        <v>206</v>
      </c>
      <c r="C15" s="18" t="s">
        <v>207</v>
      </c>
      <c r="D15" s="18" t="s">
        <v>35</v>
      </c>
      <c r="E15" s="18" t="s">
        <v>36</v>
      </c>
      <c r="F15" s="18" t="s">
        <v>46</v>
      </c>
      <c r="G15" s="18" t="s">
        <v>47</v>
      </c>
      <c r="H15" s="18" t="s">
        <v>208</v>
      </c>
      <c r="I15" s="18" t="s">
        <v>49</v>
      </c>
      <c r="J15" s="18" t="s">
        <v>50</v>
      </c>
      <c r="K15" s="18" t="s">
        <v>202</v>
      </c>
      <c r="L15" s="18" t="s">
        <v>52</v>
      </c>
      <c r="M15" s="36" t="s">
        <v>68</v>
      </c>
      <c r="N15" s="36" t="s">
        <v>69</v>
      </c>
      <c r="O15" s="37" t="s">
        <v>70</v>
      </c>
      <c r="P15" s="37" t="s">
        <v>71</v>
      </c>
      <c r="Q15" s="18" t="s">
        <v>72</v>
      </c>
      <c r="R15" s="18" t="s">
        <v>73</v>
      </c>
      <c r="S15" s="18" t="s">
        <v>74</v>
      </c>
      <c r="T15" s="18" t="s">
        <v>75</v>
      </c>
      <c r="U15" s="18" t="s">
        <v>76</v>
      </c>
      <c r="V15" s="18" t="s">
        <v>77</v>
      </c>
      <c r="W15" s="18" t="s">
        <v>45</v>
      </c>
      <c r="X15" s="18" t="s">
        <v>78</v>
      </c>
      <c r="Y15" s="18" t="s">
        <v>48</v>
      </c>
      <c r="Z15" s="18" t="s">
        <v>79</v>
      </c>
      <c r="AA15" s="18" t="s">
        <v>311</v>
      </c>
      <c r="AB15" s="18" t="s">
        <v>80</v>
      </c>
      <c r="AC15" s="18" t="s">
        <v>81</v>
      </c>
      <c r="AD15" s="18" t="s">
        <v>82</v>
      </c>
      <c r="AE15" s="18" t="s">
        <v>83</v>
      </c>
      <c r="AF15" s="18" t="s">
        <v>84</v>
      </c>
      <c r="AG15" s="18" t="s">
        <v>86</v>
      </c>
      <c r="AH15" s="18" t="s">
        <v>87</v>
      </c>
      <c r="AI15" s="18" t="s">
        <v>88</v>
      </c>
      <c r="AJ15" s="18" t="s">
        <v>53</v>
      </c>
      <c r="AK15" s="18" t="s">
        <v>91</v>
      </c>
      <c r="AL15" s="18" t="s">
        <v>93</v>
      </c>
      <c r="AM15" s="18" t="s">
        <v>94</v>
      </c>
      <c r="AN15" s="18" t="s">
        <v>95</v>
      </c>
      <c r="AO15" s="18" t="s">
        <v>96</v>
      </c>
      <c r="AP15" s="18" t="s">
        <v>97</v>
      </c>
      <c r="AQ15" s="18" t="s">
        <v>98</v>
      </c>
      <c r="AR15" s="18" t="s">
        <v>99</v>
      </c>
      <c r="AS15" s="18" t="s">
        <v>100</v>
      </c>
      <c r="AT15" s="18" t="s">
        <v>312</v>
      </c>
      <c r="AU15" s="18" t="s">
        <v>51</v>
      </c>
      <c r="AV15" s="18" t="s">
        <v>313</v>
      </c>
      <c r="AW15" s="18" t="s">
        <v>103</v>
      </c>
      <c r="AX15" s="18" t="s">
        <v>104</v>
      </c>
      <c r="AY15" s="18" t="s">
        <v>106</v>
      </c>
      <c r="AZ15" s="18" t="s">
        <v>37</v>
      </c>
      <c r="BA15" s="18" t="s">
        <v>38</v>
      </c>
      <c r="BB15" s="18" t="s">
        <v>209</v>
      </c>
      <c r="BC15" s="18" t="s">
        <v>60</v>
      </c>
      <c r="BD15" s="18" t="s">
        <v>61</v>
      </c>
      <c r="BE15" s="18" t="s">
        <v>62</v>
      </c>
      <c r="BF15" s="18" t="s">
        <v>210</v>
      </c>
      <c r="BG15" s="18" t="s">
        <v>211</v>
      </c>
      <c r="BH15" s="18" t="s">
        <v>215</v>
      </c>
      <c r="BI15" s="18" t="s">
        <v>58</v>
      </c>
      <c r="BJ15" s="18" t="s">
        <v>56</v>
      </c>
      <c r="BK15" s="18" t="s">
        <v>59</v>
      </c>
      <c r="BL15" s="18" t="s">
        <v>314</v>
      </c>
      <c r="BM15" s="18" t="s">
        <v>118</v>
      </c>
      <c r="BN15" s="18" t="s">
        <v>117</v>
      </c>
      <c r="BO15" s="18" t="s">
        <v>119</v>
      </c>
      <c r="BP15" s="18" t="s">
        <v>120</v>
      </c>
      <c r="BQ15" s="18" t="s">
        <v>110</v>
      </c>
      <c r="BR15" s="18" t="s">
        <v>111</v>
      </c>
      <c r="BS15" s="18" t="s">
        <v>238</v>
      </c>
      <c r="BT15" s="18" t="s">
        <v>239</v>
      </c>
      <c r="BU15" s="18" t="s">
        <v>242</v>
      </c>
      <c r="BV15" s="18" t="s">
        <v>243</v>
      </c>
      <c r="BW15" s="18" t="s">
        <v>112</v>
      </c>
      <c r="BX15" s="18" t="s">
        <v>113</v>
      </c>
      <c r="BY15" s="18" t="s">
        <v>114</v>
      </c>
      <c r="BZ15" s="18" t="s">
        <v>115</v>
      </c>
      <c r="CA15" s="18" t="s">
        <v>116</v>
      </c>
      <c r="CB15" s="18" t="s">
        <v>315</v>
      </c>
      <c r="CC15" s="18" t="s">
        <v>121</v>
      </c>
      <c r="CD15" s="18" t="s">
        <v>235</v>
      </c>
      <c r="CE15" s="18" t="s">
        <v>122</v>
      </c>
      <c r="CF15" s="18" t="s">
        <v>123</v>
      </c>
      <c r="CG15" s="18" t="s">
        <v>124</v>
      </c>
      <c r="CH15" s="18" t="s">
        <v>125</v>
      </c>
      <c r="CI15" s="18" t="s">
        <v>126</v>
      </c>
      <c r="CJ15" s="18" t="s">
        <v>127</v>
      </c>
      <c r="CK15" s="18" t="s">
        <v>128</v>
      </c>
      <c r="CL15" s="18" t="s">
        <v>131</v>
      </c>
      <c r="CM15" s="18" t="s">
        <v>132</v>
      </c>
      <c r="CN15" s="18" t="s">
        <v>133</v>
      </c>
      <c r="CO15" s="18" t="s">
        <v>33</v>
      </c>
      <c r="CP15" s="18" t="s">
        <v>34</v>
      </c>
      <c r="CQ15" s="18" t="s">
        <v>134</v>
      </c>
      <c r="CR15" s="18" t="s">
        <v>135</v>
      </c>
      <c r="CS15" s="18" t="s">
        <v>136</v>
      </c>
      <c r="CT15" s="18" t="s">
        <v>137</v>
      </c>
      <c r="CU15" s="18" t="s">
        <v>306</v>
      </c>
      <c r="CV15" s="18" t="s">
        <v>139</v>
      </c>
      <c r="CW15" s="18" t="s">
        <v>140</v>
      </c>
      <c r="CX15" s="18" t="s">
        <v>141</v>
      </c>
      <c r="CY15" s="18" t="s">
        <v>142</v>
      </c>
      <c r="CZ15" s="18" t="s">
        <v>143</v>
      </c>
      <c r="DA15" s="18" t="s">
        <v>145</v>
      </c>
      <c r="DB15" s="18" t="s">
        <v>146</v>
      </c>
      <c r="DC15" s="18" t="s">
        <v>144</v>
      </c>
      <c r="DD15" s="18" t="s">
        <v>316</v>
      </c>
      <c r="DE15" s="18" t="s">
        <v>317</v>
      </c>
      <c r="DF15" s="18" t="s">
        <v>39</v>
      </c>
      <c r="DG15" s="18" t="s">
        <v>318</v>
      </c>
      <c r="DH15" s="18" t="s">
        <v>286</v>
      </c>
      <c r="DI15" s="18" t="s">
        <v>287</v>
      </c>
      <c r="DJ15" s="36" t="s">
        <v>288</v>
      </c>
      <c r="DK15" s="18" t="s">
        <v>289</v>
      </c>
      <c r="DL15" s="18" t="s">
        <v>63</v>
      </c>
      <c r="DM15" s="18" t="s">
        <v>54</v>
      </c>
      <c r="DN15" s="18" t="s">
        <v>55</v>
      </c>
      <c r="DO15" s="18" t="s">
        <v>147</v>
      </c>
      <c r="DP15" s="18" t="s">
        <v>148</v>
      </c>
      <c r="DQ15" s="18" t="s">
        <v>149</v>
      </c>
      <c r="DR15" s="18" t="s">
        <v>150</v>
      </c>
      <c r="DS15" s="18" t="s">
        <v>151</v>
      </c>
      <c r="DT15" s="18" t="s">
        <v>152</v>
      </c>
      <c r="DU15" s="36" t="s">
        <v>153</v>
      </c>
      <c r="DV15" s="18" t="s">
        <v>154</v>
      </c>
      <c r="DW15" s="18" t="s">
        <v>155</v>
      </c>
      <c r="DX15" s="18" t="s">
        <v>156</v>
      </c>
      <c r="DY15" s="18" t="s">
        <v>157</v>
      </c>
      <c r="DZ15" s="18" t="s">
        <v>158</v>
      </c>
      <c r="EA15" s="18" t="s">
        <v>159</v>
      </c>
      <c r="EB15" s="18" t="s">
        <v>160</v>
      </c>
      <c r="EC15" s="18" t="s">
        <v>161</v>
      </c>
      <c r="ED15" s="18" t="s">
        <v>162</v>
      </c>
      <c r="EE15" s="18" t="s">
        <v>163</v>
      </c>
      <c r="EF15" s="18" t="s">
        <v>164</v>
      </c>
      <c r="EG15" s="18" t="s">
        <v>165</v>
      </c>
      <c r="EH15" s="18" t="s">
        <v>166</v>
      </c>
      <c r="EI15" s="18" t="s">
        <v>170</v>
      </c>
      <c r="EJ15" s="18" t="s">
        <v>171</v>
      </c>
      <c r="EK15" s="18" t="s">
        <v>172</v>
      </c>
      <c r="EL15" s="18" t="s">
        <v>173</v>
      </c>
      <c r="EM15" s="18" t="s">
        <v>174</v>
      </c>
      <c r="EN15" s="18" t="s">
        <v>175</v>
      </c>
      <c r="EO15" s="18" t="s">
        <v>176</v>
      </c>
      <c r="EP15" s="18" t="s">
        <v>177</v>
      </c>
      <c r="EQ15" s="18" t="s">
        <v>178</v>
      </c>
      <c r="ER15" s="18" t="s">
        <v>179</v>
      </c>
      <c r="ES15" s="18" t="s">
        <v>180</v>
      </c>
      <c r="ET15" s="18" t="s">
        <v>226</v>
      </c>
      <c r="EU15" s="18" t="s">
        <v>223</v>
      </c>
      <c r="EV15" s="18" t="s">
        <v>181</v>
      </c>
      <c r="EW15" s="18" t="s">
        <v>319</v>
      </c>
      <c r="EX15" s="18" t="s">
        <v>320</v>
      </c>
      <c r="EY15" s="18" t="s">
        <v>240</v>
      </c>
      <c r="EZ15" s="18" t="s">
        <v>184</v>
      </c>
      <c r="FA15" s="18" t="s">
        <v>185</v>
      </c>
      <c r="FB15" s="18" t="s">
        <v>321</v>
      </c>
      <c r="FC15" s="18" t="s">
        <v>322</v>
      </c>
      <c r="FD15" s="18" t="s">
        <v>323</v>
      </c>
      <c r="FE15" s="18" t="s">
        <v>324</v>
      </c>
      <c r="FF15" s="18" t="s">
        <v>186</v>
      </c>
      <c r="FG15" s="18" t="s">
        <v>187</v>
      </c>
      <c r="FH15" s="18" t="s">
        <v>325</v>
      </c>
      <c r="FI15" s="18" t="s">
        <v>326</v>
      </c>
      <c r="FJ15" s="18" t="s">
        <v>327</v>
      </c>
      <c r="FK15" s="18" t="s">
        <v>328</v>
      </c>
      <c r="FL15" s="18" t="s">
        <v>329</v>
      </c>
      <c r="FM15" t="s">
        <v>423</v>
      </c>
    </row>
    <row r="16" spans="1:185" x14ac:dyDescent="0.15">
      <c r="A16" s="25" t="str">
        <f ca="1">FM16</f>
        <v>('KGJPN','CD2016031500020','KGJPN','1408000','CD2016031500020',0,1,'CDDR','DOMES',216000,' ','2016-03-31','2016-03-31','2016-04-02','2016-09-30','AAA','AAA','AAA',' ',null,0,'2016031500020',0,'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B16" s="15" t="str">
        <f>$C$1</f>
        <v>KGJPN</v>
      </c>
      <c r="C16" s="24" t="str">
        <f ca="1">$C$3</f>
        <v>CD2016031500020</v>
      </c>
      <c r="D16" s="15" t="str">
        <f>$C$1</f>
        <v>KGJPN</v>
      </c>
      <c r="E16" s="15" t="str">
        <f>$C$2</f>
        <v>1408000</v>
      </c>
      <c r="F16" s="24" t="str">
        <f ca="1">$C$3</f>
        <v>CD2016031500020</v>
      </c>
      <c r="G16" s="21">
        <v>0</v>
      </c>
      <c r="H16" s="21">
        <v>1</v>
      </c>
      <c r="I16" s="20" t="s">
        <v>189</v>
      </c>
      <c r="J16" s="20" t="s">
        <v>350</v>
      </c>
      <c r="K16" s="23">
        <f>$C$4</f>
        <v>216000</v>
      </c>
      <c r="L16" s="20" t="s">
        <v>43</v>
      </c>
      <c r="M16" s="22">
        <v>42460</v>
      </c>
      <c r="N16" s="22">
        <v>42460</v>
      </c>
      <c r="O16" s="22">
        <v>42462</v>
      </c>
      <c r="P16" s="22">
        <v>42643</v>
      </c>
      <c r="Q16" s="20" t="s">
        <v>190</v>
      </c>
      <c r="R16" s="20" t="s">
        <v>190</v>
      </c>
      <c r="S16" s="20" t="s">
        <v>190</v>
      </c>
      <c r="T16" s="20" t="s">
        <v>43</v>
      </c>
      <c r="U16" s="21"/>
      <c r="V16" s="21">
        <v>0</v>
      </c>
      <c r="W16" s="38" t="str">
        <f ca="1">RIGHT($C3,13)</f>
        <v>2016031500020</v>
      </c>
      <c r="X16" s="21">
        <v>0</v>
      </c>
      <c r="Y16" s="20" t="s">
        <v>43</v>
      </c>
      <c r="Z16" s="21">
        <v>0</v>
      </c>
      <c r="AA16" s="20" t="s">
        <v>0</v>
      </c>
      <c r="AB16" s="20" t="s">
        <v>43</v>
      </c>
      <c r="AC16" s="21">
        <v>0</v>
      </c>
      <c r="AD16" s="21">
        <v>0</v>
      </c>
      <c r="AE16" s="21"/>
      <c r="AF16" s="21"/>
      <c r="AG16" s="21">
        <v>0</v>
      </c>
      <c r="AH16" s="21">
        <v>0</v>
      </c>
      <c r="AI16" s="20" t="s">
        <v>65</v>
      </c>
      <c r="AJ16" s="20" t="s">
        <v>192</v>
      </c>
      <c r="AK16" s="21"/>
      <c r="AL16" s="21"/>
      <c r="AM16" s="21"/>
      <c r="AN16" s="21">
        <v>0</v>
      </c>
      <c r="AO16" s="21"/>
      <c r="AP16" s="21">
        <v>0</v>
      </c>
      <c r="AQ16" s="21"/>
      <c r="AR16" s="21">
        <v>0</v>
      </c>
      <c r="AS16" s="20" t="s">
        <v>65</v>
      </c>
      <c r="AT16" s="20" t="s">
        <v>43</v>
      </c>
      <c r="AU16" s="20" t="s">
        <v>195</v>
      </c>
      <c r="AV16" s="20" t="s">
        <v>196</v>
      </c>
      <c r="AW16" s="20" t="s">
        <v>43</v>
      </c>
      <c r="AX16" s="21"/>
      <c r="AY16" s="20" t="s">
        <v>43</v>
      </c>
      <c r="AZ16" s="20" t="s">
        <v>43</v>
      </c>
      <c r="BA16" s="20" t="s">
        <v>43</v>
      </c>
      <c r="BB16" s="20" t="s">
        <v>193</v>
      </c>
      <c r="BC16" s="20" t="s">
        <v>194</v>
      </c>
      <c r="BD16" s="21">
        <v>1</v>
      </c>
      <c r="BE16" s="21">
        <v>1</v>
      </c>
      <c r="BF16" s="21">
        <v>0</v>
      </c>
      <c r="BG16" s="20" t="s">
        <v>43</v>
      </c>
      <c r="BH16" s="23">
        <f>$C$4</f>
        <v>216000</v>
      </c>
      <c r="BI16" s="20" t="s">
        <v>193</v>
      </c>
      <c r="BJ16" s="21">
        <v>0</v>
      </c>
      <c r="BK16" s="20" t="s">
        <v>43</v>
      </c>
      <c r="BL16" s="21"/>
      <c r="BM16" s="15" t="str">
        <f>$C$1</f>
        <v>KGJPN</v>
      </c>
      <c r="BN16" s="20" t="s">
        <v>65</v>
      </c>
      <c r="BO16" s="20" t="s">
        <v>65</v>
      </c>
      <c r="BP16" s="20" t="s">
        <v>43</v>
      </c>
      <c r="BQ16" s="20" t="s">
        <v>196</v>
      </c>
      <c r="BR16" s="20" t="s">
        <v>65</v>
      </c>
      <c r="BS16" s="23">
        <f>$C$5</f>
        <v>200000</v>
      </c>
      <c r="BT16" s="23">
        <f>$C$5</f>
        <v>200000</v>
      </c>
      <c r="BU16" s="23">
        <f>$C$6</f>
        <v>16000</v>
      </c>
      <c r="BV16" s="23">
        <f>$C$6</f>
        <v>16000</v>
      </c>
      <c r="BW16" s="20" t="s">
        <v>197</v>
      </c>
      <c r="BX16" s="20" t="s">
        <v>43</v>
      </c>
      <c r="BY16" s="20" t="s">
        <v>197</v>
      </c>
      <c r="BZ16" s="20" t="s">
        <v>197</v>
      </c>
      <c r="CA16" s="20" t="s">
        <v>43</v>
      </c>
      <c r="CB16" s="20" t="s">
        <v>302</v>
      </c>
      <c r="CC16" s="20" t="s">
        <v>43</v>
      </c>
      <c r="CD16" s="20" t="s">
        <v>251</v>
      </c>
      <c r="CE16" s="20" t="s">
        <v>65</v>
      </c>
      <c r="CF16" s="20" t="s">
        <v>43</v>
      </c>
      <c r="CG16" s="20" t="s">
        <v>43</v>
      </c>
      <c r="CH16" s="20" t="s">
        <v>43</v>
      </c>
      <c r="CI16" s="20" t="s">
        <v>43</v>
      </c>
      <c r="CJ16" s="21">
        <v>0</v>
      </c>
      <c r="CK16" s="20" t="s">
        <v>43</v>
      </c>
      <c r="CL16" s="20" t="s">
        <v>43</v>
      </c>
      <c r="CM16" s="20" t="s">
        <v>43</v>
      </c>
      <c r="CN16" s="20" t="s">
        <v>198</v>
      </c>
      <c r="CO16" s="20" t="s">
        <v>43</v>
      </c>
      <c r="CP16" s="20" t="s">
        <v>43</v>
      </c>
      <c r="CQ16" s="20" t="s">
        <v>43</v>
      </c>
      <c r="CR16" s="20" t="s">
        <v>43</v>
      </c>
      <c r="CS16" s="20" t="s">
        <v>43</v>
      </c>
      <c r="CT16" s="20" t="s">
        <v>43</v>
      </c>
      <c r="CU16" s="21">
        <v>0</v>
      </c>
      <c r="CV16" s="15" t="str">
        <f>$C$1</f>
        <v>KGJPN</v>
      </c>
      <c r="CW16" s="20" t="s">
        <v>199</v>
      </c>
      <c r="CX16" s="20" t="s">
        <v>200</v>
      </c>
      <c r="CY16" s="20" t="s">
        <v>43</v>
      </c>
      <c r="CZ16" s="20" t="s">
        <v>43</v>
      </c>
      <c r="DA16" s="20" t="s">
        <v>43</v>
      </c>
      <c r="DB16" s="20" t="s">
        <v>43</v>
      </c>
      <c r="DC16" s="20" t="s">
        <v>43</v>
      </c>
      <c r="DD16" s="21">
        <v>0</v>
      </c>
      <c r="DE16" s="21">
        <v>0</v>
      </c>
      <c r="DF16" s="20" t="s">
        <v>43</v>
      </c>
      <c r="DG16" s="21">
        <v>0</v>
      </c>
      <c r="DH16" s="20" t="s">
        <v>43</v>
      </c>
      <c r="DI16" s="20" t="s">
        <v>43</v>
      </c>
      <c r="DJ16" s="22">
        <v>42460</v>
      </c>
      <c r="DK16" s="20" t="s">
        <v>43</v>
      </c>
      <c r="DL16" s="21">
        <v>0</v>
      </c>
      <c r="DM16" s="21">
        <v>0</v>
      </c>
      <c r="DN16" s="21">
        <v>0</v>
      </c>
      <c r="DO16" s="21">
        <v>1</v>
      </c>
      <c r="DP16" s="21">
        <v>0</v>
      </c>
      <c r="DQ16" s="21">
        <v>0</v>
      </c>
      <c r="DR16" s="21">
        <v>0</v>
      </c>
      <c r="DS16" s="21">
        <v>0</v>
      </c>
      <c r="DT16" s="21">
        <v>0</v>
      </c>
      <c r="DU16" s="22">
        <v>42460</v>
      </c>
      <c r="DV16" s="21"/>
      <c r="DW16" s="21"/>
      <c r="DX16" s="21"/>
      <c r="DY16" s="20" t="s">
        <v>43</v>
      </c>
      <c r="DZ16" s="15" t="str">
        <f>$C$7</f>
        <v>KJ0245</v>
      </c>
      <c r="EA16" s="20" t="s">
        <v>43</v>
      </c>
      <c r="EB16" s="20" t="s">
        <v>43</v>
      </c>
      <c r="EC16" s="20" t="s">
        <v>43</v>
      </c>
      <c r="ED16" s="20" t="s">
        <v>354</v>
      </c>
      <c r="EE16" s="20" t="s">
        <v>355</v>
      </c>
      <c r="EF16" s="20" t="s">
        <v>201</v>
      </c>
      <c r="EG16" s="20" t="s">
        <v>43</v>
      </c>
      <c r="EH16" s="20" t="s">
        <v>43</v>
      </c>
      <c r="EI16" s="20" t="s">
        <v>43</v>
      </c>
      <c r="EJ16" s="20" t="s">
        <v>43</v>
      </c>
      <c r="EK16" s="20" t="s">
        <v>43</v>
      </c>
      <c r="EL16" s="20" t="s">
        <v>43</v>
      </c>
      <c r="EM16" s="20" t="s">
        <v>43</v>
      </c>
      <c r="EN16" s="20" t="s">
        <v>0</v>
      </c>
      <c r="EO16" s="20" t="s">
        <v>43</v>
      </c>
      <c r="EP16" s="20" t="s">
        <v>43</v>
      </c>
      <c r="EQ16" s="20" t="s">
        <v>43</v>
      </c>
      <c r="ER16" s="20" t="s">
        <v>43</v>
      </c>
      <c r="ES16" s="20" t="s">
        <v>43</v>
      </c>
      <c r="ET16" s="20" t="s">
        <v>65</v>
      </c>
      <c r="EU16" s="20" t="s">
        <v>65</v>
      </c>
      <c r="EV16" s="20" t="s">
        <v>43</v>
      </c>
      <c r="EW16" s="21">
        <v>0</v>
      </c>
      <c r="EX16" s="20" t="s">
        <v>43</v>
      </c>
      <c r="EY16" s="23">
        <f>$C$5</f>
        <v>200000</v>
      </c>
      <c r="EZ16" s="20" t="s">
        <v>43</v>
      </c>
      <c r="FA16" s="20" t="s">
        <v>356</v>
      </c>
      <c r="FB16" s="21">
        <v>0</v>
      </c>
      <c r="FC16" s="21">
        <v>0</v>
      </c>
      <c r="FD16" s="20" t="s">
        <v>43</v>
      </c>
      <c r="FE16" s="21">
        <v>0</v>
      </c>
      <c r="FF16" s="20" t="s">
        <v>43</v>
      </c>
      <c r="FG16" s="20" t="s">
        <v>357</v>
      </c>
      <c r="FH16" s="20" t="s">
        <v>43</v>
      </c>
      <c r="FI16" s="20" t="s">
        <v>43</v>
      </c>
      <c r="FJ16" s="21">
        <v>0</v>
      </c>
      <c r="FK16" s="21">
        <v>0</v>
      </c>
      <c r="FL16" s="20" t="s">
        <v>43</v>
      </c>
      <c r="FM16" t="str">
        <f ca="1">FN16&amp;FO16&amp;FP16&amp;FQ16&amp;FR16&amp;FS16&amp;FT16&amp;FU16&amp;FV16&amp;FW16&amp;FX16&amp;FY16&amp;FZ16&amp;GA16&amp;GB16&amp;GC16</f>
        <v>('KGJPN','CD2016031500020','KGJPN','1408000','CD2016031500020',0,1,'CDDR','DOMES',216000,' ','2016-03-31','2016-03-31','2016-04-02','2016-09-30','AAA','AAA','AAA',' ',null,0,'2016031500020',0,'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FN16" t="str">
        <f ca="1">""&amp;"('"&amp;B16&amp;"'"&amp;",'"&amp;C16&amp;"'"&amp;",'"&amp;D16&amp;"'"&amp;",'"&amp;E16&amp;"'"&amp;",'"&amp;F16&amp;"'"&amp;","&amp;G16&amp;","&amp;H16&amp;",'"&amp;I16&amp;"'"&amp;",'"&amp;J16&amp;"'"&amp;","&amp;K16&amp;",'"&amp;L16&amp;"'"&amp;","&amp;IF(M16=0,"null",TEXT(M16,"'yyyy-mm-dd'"))&amp;","&amp;IF(N16=0,"null",TEXT(N16,"'yyyy-mm-dd'"))&amp;","&amp;IF(O16=0,"null",TEXT(O16,"'yyyy-mm-dd'"))&amp;","&amp;IF(P16=0,"null",TEXT(P16,"'yyyy-mm-dd'"))</f>
        <v>('KGJPN','CD2016031500020','KGJPN','1408000','CD2016031500020',0,1,'CDDR','DOMES',216000,' ','2016-03-31','2016-03-31','2016-04-02','2016-09-30'</v>
      </c>
      <c r="FO16" t="str">
        <f ca="1">""&amp;",'"&amp;Q16&amp;"'"&amp;",'"&amp;R16&amp;"'"&amp;",'"&amp;S16&amp;"'"&amp;",'"&amp;T16&amp;"'"&amp;","&amp;IF(U16=0,"null",TEXT(U16,"'yyyy-mm-dd'"))&amp;","&amp;V16&amp;",'"&amp;W16&amp;"'"&amp;","&amp;X16&amp;",'"&amp;Y16&amp;"'"&amp;","&amp;Z16&amp;",'"&amp;AA16&amp;"'"&amp;",'"&amp;AB16&amp;"'"&amp;","&amp;AC16&amp;","&amp;AD16&amp;","&amp;IF(AE16=0,"null",TEXT(AE16,"'yyyy-mm-dd'"))&amp;","&amp;IF(AF16=0,"null",TEXT(AF16,"'yyyy-mm-dd'"))</f>
        <v>,'AAA','AAA','AAA',' ',null,0,'2016031500020',0,' ',0,'Y',' ',0,0,null,null</v>
      </c>
      <c r="FP16" t="str">
        <f>""&amp;","&amp;AG16&amp;","&amp;AH16&amp;",'"&amp;AI16&amp;"'"&amp;",'"&amp;AJ16&amp;"'"&amp;","&amp;IF(AK16=0,"null",TEXT(AK16,"'yyyy-mm-dd'"))&amp;","&amp;IF(AL16=0,"null",TEXT(AL16,"'yyyy-mm-dd'"))&amp;","&amp;IF(AM16=0,"null",TEXT(AM16,"'yyyy-mm-dd'"))&amp;","&amp;AN16&amp;","&amp;IF(AO16=0,"null",TEXT(AO16,"'yyyy-mm-dd'"))&amp;","&amp;AP16&amp;","&amp;IF(AQ16=0,"null",TEXT(AQ16,"'yyyy-mm-dd'"))&amp;","&amp;AR16&amp;",'"&amp;AS16&amp;"'"&amp;",'"&amp;AT16&amp;"'"&amp;",'"&amp;AU16&amp;"'"&amp;",'"&amp;AV16&amp;"'"</f>
        <v>,0,0,'N','ARMDS',null,null,null,0,null,0,null,0,'N',' ','IT-01','I'</v>
      </c>
      <c r="FQ16" t="str">
        <f>""&amp;",'"&amp;AW16&amp;"'"&amp;","&amp;IF(AX16=0,"null",TEXT(AX16,"'yyyy-mm-dd'"))&amp;",'"&amp;AY16&amp;"'"&amp;",'"&amp;AZ16&amp;"'"&amp;",'"&amp;BA16&amp;"'"&amp;",'"&amp;BB16&amp;"'"&amp;",'"&amp;BC16&amp;"'"&amp;","&amp;BD16&amp;","&amp;BE16&amp;","&amp;BF16&amp;",'"&amp;BG16&amp;"'"&amp;","&amp;BH16&amp;",'"&amp;BI16&amp;"'"&amp;","&amp;BJ16&amp;",'"&amp;BK16&amp;"'"&amp;","&amp;IF(BL16=0,"null",TEXT(BL16,"'yyyy-mm-dd'"))</f>
        <v>,' ',null,' ',' ',' ','JPY','APTTM',1,1,0,' ',216000,'JPY',0,' ',null</v>
      </c>
      <c r="FR16" t="str">
        <f>""&amp;",'"&amp;BM16&amp;"'"&amp;",'"&amp;BN16&amp;"'"&amp;",'"&amp;BO16&amp;"'"&amp;",'"&amp;BP16&amp;"'"&amp;",'"&amp;BQ16&amp;"'"&amp;",'"&amp;BR16&amp;"'"&amp;","&amp;BS16&amp;","&amp;BT16&amp;","&amp;BU16&amp;","&amp;BV16&amp;",'"&amp;BW16&amp;"'"&amp;",'"&amp;BX16&amp;"'"&amp;",'"&amp;BY16&amp;"'"&amp;",'"&amp;BZ16&amp;"'"&amp;",'"&amp;CA16&amp;"'"&amp;",'"&amp;CB16&amp;"'"</f>
        <v>,'KGJPN','N','N',' ','I','N',200000,200000,16000,16000,'JPN',' ','JPN','JPN',' ','U'</v>
      </c>
      <c r="FS16" t="str">
        <f>""&amp;",'"&amp;CC16&amp;"'"&amp;",'"&amp;CD16&amp;"'"&amp;",'"&amp;CE16&amp;"'"&amp;",'"&amp;CF16&amp;"'"&amp;",'"&amp;CG16&amp;"'"&amp;",'"&amp;CH16&amp;"'"&amp;",'"&amp;CI16&amp;"'"&amp;","&amp;CJ16&amp;",'"&amp;CK16&amp;"'"&amp;",'"&amp;CL16&amp;"'"&amp;",'"&amp;CM16&amp;"'"&amp;",'"&amp;CN16&amp;"'"&amp;",'"&amp;CO16&amp;"'"&amp;",'"&amp;CP16&amp;"'"&amp;",'"&amp;CQ16&amp;"'"&amp;",'"&amp;CR16&amp;"'"</f>
        <v>,' ','VO','N',' ',' ',' ',' ',0,' ',' ',' ','CHK',' ',' ',' ',' '</v>
      </c>
      <c r="FT16" t="str">
        <f>""&amp;",'"&amp;CS16&amp;"'"&amp;",'"&amp;CT16&amp;"'"&amp;","&amp;CU16&amp;",'"&amp;CV16&amp;"'"&amp;",'"&amp;CW16&amp;"'"&amp;",'"&amp;CX16&amp;"'"&amp;",'"&amp;CY16&amp;"'"&amp;",'"&amp;CZ16&amp;"'"&amp;",'"&amp;DA16&amp;"'"&amp;",'"&amp;DB16&amp;"'"&amp;",'"&amp;DC16&amp;"'"&amp;","&amp;DD16&amp;","&amp;DE16&amp;",'"&amp;DF16&amp;"'"&amp;","&amp;DG16&amp;",'"&amp;DH16&amp;"'"</f>
        <v>,' ',' ',0,'KGJPN','0005','0018',' ',' ',' ',' ',' ',0,0,' ',0,' '</v>
      </c>
      <c r="FU16" t="str">
        <f>""&amp;",'"&amp;DI16&amp;"'"&amp;","&amp;IF(DJ16=0,"null",TEXT(DJ16,"'yyyy-mm-dd'"))&amp;",'"&amp;DK16&amp;"'"&amp;","&amp;DL16&amp;","&amp;DM16&amp;","&amp;DN16&amp;","&amp;DO16&amp;","&amp;DP16&amp;","&amp;DQ16&amp;","&amp;DR16&amp;","&amp;DS16&amp;","&amp;DT16&amp;","&amp;IF(DU16=0,"null",TEXT(DU16,"'yyyy-mm-dd'"))&amp;","&amp;IF(DV16=0,"null",TEXT(DV16,"'yyyy-mm-dd'"))&amp;","&amp;IF(DW16=0,"null",TEXT(DW16,"'yyyy-mm-dd'"))&amp;","&amp;IF(DX16=0,"null",TEXT(DX16,"'yyyy-mm-dd'"))</f>
        <v>,' ','2016-03-31',' ',0,0,0,1,0,0,0,0,0,'2016-03-31',null,null,null</v>
      </c>
      <c r="FV16" t="str">
        <f>""&amp;",'"&amp;DY16&amp;"'"&amp;",'"&amp;DZ16&amp;"'"&amp;",'"&amp;EA16&amp;"'"&amp;",'"&amp;EB16&amp;"'"&amp;",'"&amp;EC16&amp;"'"&amp;",'"&amp;ED16&amp;"'"&amp;",'"&amp;EE16&amp;"'"&amp;",'"&amp;EF16&amp;"'"&amp;",'"&amp;EG16&amp;"'"&amp;",'"&amp;EH16&amp;"'"&amp;",'"&amp;EI16&amp;"'"&amp;",'"&amp;EJ16&amp;"'"&amp;",'"&amp;EK16&amp;"'"&amp;",'"&amp;EL16&amp;"'"&amp;",'"&amp;EM16&amp;"'"&amp;",'"&amp;EN16&amp;"'"</f>
        <v>,' ','KJ0245',' ',' ',' ','44','FB','S',' ',' ',' ',' ',' ',' ',' ','Y'</v>
      </c>
      <c r="FW16" t="str">
        <f>""&amp;",'"&amp;EO16&amp;"'"&amp;",'"&amp;EP16&amp;"'"&amp;",'"&amp;EQ16&amp;"'"&amp;",'"&amp;ER16&amp;"'"&amp;",'"&amp;ES16&amp;"'"&amp;",'"&amp;ET16&amp;"'"&amp;",'"&amp;EU16&amp;"'"&amp;",'"&amp;EV16&amp;"'"&amp;","&amp;EW16&amp;",'"&amp;EX16&amp;"'"&amp;","&amp;EY16&amp;",'"&amp;EZ16&amp;"'"&amp;",'"&amp;FA16&amp;"'"&amp;","&amp;FB16&amp;","&amp;FC16&amp;",'"&amp;FD16&amp;"'"</f>
        <v>,' ',' ',' ',' ',' ','N','N',' ',0,' ',200000,' ','D1246552',0,0,' '</v>
      </c>
      <c r="FX16" t="str">
        <f>""&amp;","&amp;FE16&amp;",'"&amp;FF16&amp;"'"&amp;",'"&amp;FG16&amp;"'"&amp;",'"&amp;FH16&amp;"'"&amp;",'"&amp;FI16&amp;"'"&amp;","&amp;FJ16&amp;","&amp;FK16&amp;",'"&amp;FL16&amp;"'"</f>
        <v>,0,' ','BL1514',' ',' ',0,0,' '</v>
      </c>
      <c r="FY16" t="str">
        <f>""</f>
        <v/>
      </c>
      <c r="FZ16" t="str">
        <f>""</f>
        <v/>
      </c>
      <c r="GA16" t="str">
        <f>""</f>
        <v/>
      </c>
      <c r="GB16" t="str">
        <f>""</f>
        <v/>
      </c>
      <c r="GC16" t="s">
        <v>359</v>
      </c>
    </row>
    <row r="17" spans="1:165" hidden="1" x14ac:dyDescent="0.15">
      <c r="B17" s="3" t="s">
        <v>424</v>
      </c>
      <c r="E17" t="s">
        <v>425</v>
      </c>
    </row>
    <row r="18" spans="1:165" x14ac:dyDescent="0.15">
      <c r="A18" s="25" t="str">
        <f>BK18</f>
        <v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v>
      </c>
      <c r="B18" s="18" t="s">
        <v>206</v>
      </c>
      <c r="C18" s="18" t="s">
        <v>207</v>
      </c>
      <c r="D18" s="18" t="s">
        <v>35</v>
      </c>
      <c r="E18" s="18" t="s">
        <v>36</v>
      </c>
      <c r="F18" s="18" t="s">
        <v>46</v>
      </c>
      <c r="G18" s="18" t="s">
        <v>47</v>
      </c>
      <c r="H18" s="18" t="s">
        <v>208</v>
      </c>
      <c r="I18" s="18" t="s">
        <v>252</v>
      </c>
      <c r="J18" s="18" t="s">
        <v>253</v>
      </c>
      <c r="K18" s="18" t="s">
        <v>254</v>
      </c>
      <c r="L18" s="18" t="s">
        <v>255</v>
      </c>
      <c r="M18" s="18" t="s">
        <v>256</v>
      </c>
      <c r="N18" s="18" t="s">
        <v>257</v>
      </c>
      <c r="O18" s="18" t="s">
        <v>258</v>
      </c>
      <c r="P18" s="18" t="s">
        <v>259</v>
      </c>
      <c r="Q18" s="18" t="s">
        <v>260</v>
      </c>
      <c r="R18" s="18" t="s">
        <v>261</v>
      </c>
      <c r="S18" s="18" t="s">
        <v>262</v>
      </c>
      <c r="T18" s="18" t="s">
        <v>263</v>
      </c>
      <c r="U18" s="18" t="s">
        <v>264</v>
      </c>
      <c r="V18" s="18" t="s">
        <v>265</v>
      </c>
      <c r="W18" s="18" t="s">
        <v>266</v>
      </c>
      <c r="X18" s="18" t="s">
        <v>267</v>
      </c>
      <c r="Y18" s="18" t="s">
        <v>268</v>
      </c>
      <c r="Z18" s="18" t="s">
        <v>269</v>
      </c>
      <c r="AA18" s="18" t="s">
        <v>270</v>
      </c>
      <c r="AB18" s="18" t="s">
        <v>271</v>
      </c>
      <c r="AC18" s="18" t="s">
        <v>177</v>
      </c>
      <c r="AD18" s="18" t="s">
        <v>272</v>
      </c>
      <c r="AE18" s="18" t="s">
        <v>273</v>
      </c>
      <c r="AF18" s="18" t="s">
        <v>274</v>
      </c>
      <c r="AG18" s="18" t="s">
        <v>307</v>
      </c>
      <c r="AH18" s="18" t="s">
        <v>275</v>
      </c>
      <c r="AI18" s="18" t="s">
        <v>276</v>
      </c>
      <c r="AJ18" s="18" t="s">
        <v>283</v>
      </c>
      <c r="AK18" s="36" t="s">
        <v>68</v>
      </c>
      <c r="AL18" s="18" t="s">
        <v>281</v>
      </c>
      <c r="AM18" s="18" t="s">
        <v>282</v>
      </c>
      <c r="AN18" s="18" t="s">
        <v>60</v>
      </c>
      <c r="AO18" s="18" t="s">
        <v>61</v>
      </c>
      <c r="AP18" s="18" t="s">
        <v>62</v>
      </c>
      <c r="AQ18" s="18" t="s">
        <v>58</v>
      </c>
      <c r="AR18" s="18" t="s">
        <v>279</v>
      </c>
      <c r="AS18" s="18" t="s">
        <v>286</v>
      </c>
      <c r="AT18" s="18" t="s">
        <v>287</v>
      </c>
      <c r="AU18" s="36" t="s">
        <v>288</v>
      </c>
      <c r="AV18" s="18" t="s">
        <v>289</v>
      </c>
      <c r="AW18" s="18" t="s">
        <v>290</v>
      </c>
      <c r="AX18" s="18" t="s">
        <v>157</v>
      </c>
      <c r="AY18" s="18" t="s">
        <v>158</v>
      </c>
      <c r="AZ18" s="18" t="s">
        <v>159</v>
      </c>
      <c r="BA18" s="18" t="s">
        <v>160</v>
      </c>
      <c r="BB18" s="18" t="s">
        <v>161</v>
      </c>
      <c r="BC18" s="18" t="s">
        <v>232</v>
      </c>
      <c r="BD18" s="18" t="s">
        <v>233</v>
      </c>
      <c r="BE18" s="18" t="s">
        <v>234</v>
      </c>
      <c r="BF18" s="18" t="s">
        <v>235</v>
      </c>
      <c r="BG18" s="18" t="s">
        <v>52</v>
      </c>
      <c r="BH18" s="18" t="s">
        <v>308</v>
      </c>
      <c r="BI18" s="18" t="s">
        <v>309</v>
      </c>
      <c r="BJ18" s="18" t="s">
        <v>310</v>
      </c>
      <c r="BK18" t="s">
        <v>426</v>
      </c>
    </row>
    <row r="19" spans="1:165" x14ac:dyDescent="0.15">
      <c r="A19" s="25" t="str">
        <f ca="1">BK19</f>
        <v>('KGJPN','CD2016031500020','KGJPN','1408000','CD2016031500020',0,1,'RECORDING','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19" s="15" t="str">
        <f>$C$1</f>
        <v>KGJPN</v>
      </c>
      <c r="C19" s="24" t="str">
        <f ca="1">$C$3</f>
        <v>CD2016031500020</v>
      </c>
      <c r="D19" s="15" t="str">
        <f>$C$1</f>
        <v>KGJPN</v>
      </c>
      <c r="E19" s="15" t="str">
        <f>$C$2</f>
        <v>1408000</v>
      </c>
      <c r="F19" s="24" t="str">
        <f ca="1">$C$3</f>
        <v>CD2016031500020</v>
      </c>
      <c r="G19" s="21">
        <v>0</v>
      </c>
      <c r="H19" s="21">
        <v>1</v>
      </c>
      <c r="I19" s="20" t="s">
        <v>298</v>
      </c>
      <c r="J19" s="20" t="s">
        <v>43</v>
      </c>
      <c r="K19" s="21">
        <v>1</v>
      </c>
      <c r="L19" s="20" t="s">
        <v>0</v>
      </c>
      <c r="M19" s="15" t="str">
        <f>$C$1</f>
        <v>KGJPN</v>
      </c>
      <c r="N19" s="20" t="s">
        <v>299</v>
      </c>
      <c r="O19" s="20" t="s">
        <v>43</v>
      </c>
      <c r="P19" s="15" t="str">
        <f>$C$7</f>
        <v>KJ0245</v>
      </c>
      <c r="Q19" s="20" t="s">
        <v>43</v>
      </c>
      <c r="R19" s="20" t="s">
        <v>43</v>
      </c>
      <c r="S19" s="20" t="s">
        <v>43</v>
      </c>
      <c r="T19" s="20" t="s">
        <v>43</v>
      </c>
      <c r="U19" s="20" t="s">
        <v>43</v>
      </c>
      <c r="V19" s="20" t="s">
        <v>43</v>
      </c>
      <c r="W19" s="20" t="s">
        <v>43</v>
      </c>
      <c r="X19" s="20" t="s">
        <v>43</v>
      </c>
      <c r="Y19" s="20" t="s">
        <v>43</v>
      </c>
      <c r="Z19" s="15" t="str">
        <f>$C$2</f>
        <v>1408000</v>
      </c>
      <c r="AA19" s="20" t="s">
        <v>43</v>
      </c>
      <c r="AB19" s="20" t="s">
        <v>43</v>
      </c>
      <c r="AC19" s="20" t="s">
        <v>43</v>
      </c>
      <c r="AD19" s="20" t="s">
        <v>43</v>
      </c>
      <c r="AE19" s="23">
        <f>$C$4</f>
        <v>216000</v>
      </c>
      <c r="AF19" s="21">
        <v>0</v>
      </c>
      <c r="AG19" s="20" t="s">
        <v>188</v>
      </c>
      <c r="AH19" s="20" t="s">
        <v>43</v>
      </c>
      <c r="AI19" s="20" t="s">
        <v>43</v>
      </c>
      <c r="AJ19" s="20" t="s">
        <v>301</v>
      </c>
      <c r="AK19" s="22">
        <v>42460</v>
      </c>
      <c r="AL19" s="20" t="s">
        <v>193</v>
      </c>
      <c r="AM19" s="23">
        <f>$C$4</f>
        <v>216000</v>
      </c>
      <c r="AN19" s="20" t="s">
        <v>194</v>
      </c>
      <c r="AO19" s="21">
        <v>1</v>
      </c>
      <c r="AP19" s="21">
        <v>1</v>
      </c>
      <c r="AQ19" s="20" t="s">
        <v>193</v>
      </c>
      <c r="AR19" s="20" t="s">
        <v>65</v>
      </c>
      <c r="AS19" s="20" t="s">
        <v>43</v>
      </c>
      <c r="AT19" s="20" t="s">
        <v>43</v>
      </c>
      <c r="AU19" s="22">
        <v>42460</v>
      </c>
      <c r="AV19" s="20" t="s">
        <v>43</v>
      </c>
      <c r="AW19" s="20" t="s">
        <v>65</v>
      </c>
      <c r="AX19" s="20" t="s">
        <v>43</v>
      </c>
      <c r="AY19" s="20" t="s">
        <v>43</v>
      </c>
      <c r="AZ19" s="20" t="s">
        <v>43</v>
      </c>
      <c r="BA19" s="20" t="s">
        <v>43</v>
      </c>
      <c r="BB19" s="20" t="s">
        <v>43</v>
      </c>
      <c r="BC19" s="20" t="s">
        <v>43</v>
      </c>
      <c r="BD19" s="20" t="s">
        <v>43</v>
      </c>
      <c r="BE19" s="20" t="s">
        <v>43</v>
      </c>
      <c r="BF19" s="20" t="s">
        <v>43</v>
      </c>
      <c r="BG19" s="20" t="s">
        <v>43</v>
      </c>
      <c r="BH19" s="20" t="s">
        <v>43</v>
      </c>
      <c r="BI19" s="20" t="s">
        <v>43</v>
      </c>
      <c r="BJ19" s="20" t="s">
        <v>43</v>
      </c>
      <c r="BK19" t="str">
        <f ca="1">BL19&amp;BM19&amp;BN19&amp;BO19&amp;BP19&amp;BQ19&amp;BR19&amp;BS19&amp;BT19&amp;BU19&amp;BV19&amp;BW19&amp;BX19&amp;BY19&amp;BZ19&amp;CA19</f>
        <v>('KGJPN','CD2016031500020','KGJPN','1408000','CD2016031500020',0,1,'RECORDING','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L19" t="str">
        <f ca="1">""&amp;"('"&amp;B19&amp;"'"&amp;",'"&amp;C19&amp;"'"&amp;",'"&amp;D19&amp;"'"&amp;",'"&amp;E19&amp;"'"&amp;",'"&amp;F19&amp;"'"&amp;","&amp;G19&amp;","&amp;H19&amp;",'"&amp;I19&amp;"'"&amp;",'"&amp;J19&amp;"'"&amp;","&amp;K19&amp;",'"&amp;L19&amp;"'"&amp;",'"&amp;M19&amp;"'"&amp;",'"&amp;N19&amp;"'"&amp;",'"&amp;O19&amp;"'"&amp;",'"&amp;P19&amp;"'"</f>
        <v>('KGJPN','CD2016031500020','KGJPN','1408000','CD2016031500020',0,1,'RECORDING',' ',1,'Y','KGJPN','AC230020',' ','KJ0245'</v>
      </c>
      <c r="BM19" t="str">
        <f>""&amp;",'"&amp;Q19&amp;"'"&amp;",'"&amp;R19&amp;"'"&amp;",'"&amp;S19&amp;"'"&amp;",'"&amp;T19&amp;"'"&amp;",'"&amp;U19&amp;"'"&amp;",'"&amp;V19&amp;"'"&amp;",'"&amp;W19&amp;"'"&amp;",'"&amp;X19&amp;"'"&amp;",'"&amp;Y19&amp;"'"&amp;",'"&amp;Z19&amp;"'"&amp;",'"&amp;AA19&amp;"'"&amp;",'"&amp;AB19&amp;"'"&amp;",'"&amp;AC19&amp;"'"&amp;",'"&amp;AD19&amp;"'"&amp;","&amp;AE19&amp;","&amp;AF19</f>
        <v>,' ',' ',' ',' ',' ',' ',' ',' ',' ','1408000',' ',' ',' ',' ',216000,0</v>
      </c>
      <c r="BN19" t="str">
        <f>""&amp;",'"&amp;AG19&amp;"'"&amp;",'"&amp;AH19&amp;"'"&amp;",'"&amp;AI19&amp;"'"&amp;",'"&amp;AJ19&amp;"'"&amp;","&amp;IF(AK19=0,"null",TEXT(AK19,"'yyyy-mm-dd'"))&amp;",'"&amp;AL19&amp;"'"&amp;","&amp;AM19&amp;",'"&amp;AN19&amp;"'"&amp;","&amp;AO19&amp;","&amp;AP19&amp;",'"&amp;AQ19&amp;"'"&amp;",'"&amp;AR19&amp;"'"&amp;",'"&amp;AS19&amp;"'"&amp;",'"&amp;AT19&amp;"'"&amp;","&amp;IF(AU19=0,"null",TEXT(AU19,"'yyyy-mm-dd'"))&amp;",'"&amp;AV19&amp;"'"</f>
        <v>,'C',' ',' ','A','2016-03-31','JPY',216000,'APTTM',1,1,'JPY','N',' ',' ','2016-03-31',' '</v>
      </c>
      <c r="BO19" t="str">
        <f>""&amp;",'"&amp;AW19&amp;"'"&amp;",'"&amp;AX19&amp;"'"&amp;",'"&amp;AY19&amp;"'"&amp;",'"&amp;AZ19&amp;"'"&amp;",'"&amp;BA19&amp;"'"&amp;",'"&amp;BB19&amp;"'"&amp;",'"&amp;BC19&amp;"'"&amp;",'"&amp;BD19&amp;"'"&amp;",'"&amp;BE19&amp;"'"&amp;",'"&amp;BF19&amp;"'"&amp;",'"&amp;BG19&amp;"'"&amp;",'"&amp;BH19&amp;"'"&amp;",'"&amp;BI19&amp;"'"&amp;",'"&amp;BJ19&amp;"'"</f>
        <v>,'N',' ',' ',' ',' ',' ',' ',' ',' ',' ',' ',' ',' ',' '</v>
      </c>
      <c r="BP19" t="str">
        <f>""</f>
        <v/>
      </c>
      <c r="BQ19" t="str">
        <f>""</f>
        <v/>
      </c>
      <c r="BR19" t="str">
        <f>""</f>
        <v/>
      </c>
      <c r="BS19" t="str">
        <f>""</f>
        <v/>
      </c>
      <c r="BT19" t="str">
        <f>""</f>
        <v/>
      </c>
      <c r="BU19" t="str">
        <f>""</f>
        <v/>
      </c>
      <c r="BV19" t="str">
        <f>""</f>
        <v/>
      </c>
      <c r="BW19" t="str">
        <f>""</f>
        <v/>
      </c>
      <c r="BX19" t="str">
        <f>""</f>
        <v/>
      </c>
      <c r="BY19" t="str">
        <f>""</f>
        <v/>
      </c>
      <c r="BZ19" t="str">
        <f>""</f>
        <v/>
      </c>
      <c r="CA19" t="s">
        <v>44</v>
      </c>
    </row>
    <row r="20" spans="1:165" x14ac:dyDescent="0.15">
      <c r="A20" s="25" t="str">
        <f ca="1">BK20</f>
        <v>('KGJPN','CD2016031500020','KGJPN','1408000','CD2016031500020',0,1,'RECORDING','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20" s="15" t="str">
        <f>$C$1</f>
        <v>KGJPN</v>
      </c>
      <c r="C20" s="24" t="str">
        <f ca="1">$C$3</f>
        <v>CD2016031500020</v>
      </c>
      <c r="D20" s="15" t="str">
        <f>$C$1</f>
        <v>KGJPN</v>
      </c>
      <c r="E20" s="15" t="str">
        <f>$C$2</f>
        <v>1408000</v>
      </c>
      <c r="F20" s="24" t="str">
        <f ca="1">$C$3</f>
        <v>CD2016031500020</v>
      </c>
      <c r="G20" s="21">
        <v>0</v>
      </c>
      <c r="H20" s="21">
        <v>1</v>
      </c>
      <c r="I20" s="20" t="s">
        <v>298</v>
      </c>
      <c r="J20" s="20" t="s">
        <v>43</v>
      </c>
      <c r="K20" s="21">
        <v>2</v>
      </c>
      <c r="L20" s="20" t="s">
        <v>0</v>
      </c>
      <c r="M20" s="15" t="str">
        <f>$C$1</f>
        <v>KGJPN</v>
      </c>
      <c r="N20" s="20" t="s">
        <v>351</v>
      </c>
      <c r="O20" s="20" t="s">
        <v>43</v>
      </c>
      <c r="P20" s="15" t="str">
        <f>$C$7</f>
        <v>KJ0245</v>
      </c>
      <c r="Q20" s="20" t="s">
        <v>43</v>
      </c>
      <c r="R20" s="20" t="s">
        <v>43</v>
      </c>
      <c r="S20" s="20" t="s">
        <v>43</v>
      </c>
      <c r="T20" s="20" t="s">
        <v>43</v>
      </c>
      <c r="U20" s="20" t="s">
        <v>43</v>
      </c>
      <c r="V20" s="20" t="s">
        <v>43</v>
      </c>
      <c r="W20" s="20" t="s">
        <v>43</v>
      </c>
      <c r="X20" s="20" t="s">
        <v>43</v>
      </c>
      <c r="Y20" s="20" t="s">
        <v>43</v>
      </c>
      <c r="Z20" s="15" t="str">
        <f>$C$2</f>
        <v>1408000</v>
      </c>
      <c r="AA20" s="20" t="s">
        <v>43</v>
      </c>
      <c r="AB20" s="20" t="s">
        <v>43</v>
      </c>
      <c r="AC20" s="20" t="s">
        <v>43</v>
      </c>
      <c r="AD20" s="20" t="s">
        <v>43</v>
      </c>
      <c r="AE20" s="23">
        <f>-1*$C$5</f>
        <v>-200000</v>
      </c>
      <c r="AF20" s="21">
        <v>0</v>
      </c>
      <c r="AG20" s="20" t="s">
        <v>188</v>
      </c>
      <c r="AH20" s="20" t="s">
        <v>43</v>
      </c>
      <c r="AI20" s="20" t="s">
        <v>43</v>
      </c>
      <c r="AJ20" s="20" t="s">
        <v>302</v>
      </c>
      <c r="AK20" s="22">
        <v>42460</v>
      </c>
      <c r="AL20" s="20" t="s">
        <v>193</v>
      </c>
      <c r="AM20" s="23">
        <f>-1*$C$5</f>
        <v>-200000</v>
      </c>
      <c r="AN20" s="20" t="s">
        <v>194</v>
      </c>
      <c r="AO20" s="21">
        <v>1</v>
      </c>
      <c r="AP20" s="21">
        <v>1</v>
      </c>
      <c r="AQ20" s="20" t="s">
        <v>193</v>
      </c>
      <c r="AR20" s="20" t="s">
        <v>65</v>
      </c>
      <c r="AS20" s="20" t="s">
        <v>43</v>
      </c>
      <c r="AT20" s="20" t="s">
        <v>43</v>
      </c>
      <c r="AU20" s="22">
        <v>42460</v>
      </c>
      <c r="AV20" s="20" t="s">
        <v>43</v>
      </c>
      <c r="AW20" s="20" t="s">
        <v>65</v>
      </c>
      <c r="AX20" s="20" t="s">
        <v>43</v>
      </c>
      <c r="AY20" s="20" t="s">
        <v>43</v>
      </c>
      <c r="AZ20" s="20" t="s">
        <v>43</v>
      </c>
      <c r="BA20" s="20" t="s">
        <v>43</v>
      </c>
      <c r="BB20" s="20" t="s">
        <v>43</v>
      </c>
      <c r="BC20" s="20" t="s">
        <v>43</v>
      </c>
      <c r="BD20" s="20" t="s">
        <v>43</v>
      </c>
      <c r="BE20" s="20" t="s">
        <v>43</v>
      </c>
      <c r="BF20" s="20" t="s">
        <v>43</v>
      </c>
      <c r="BG20" s="20" t="s">
        <v>43</v>
      </c>
      <c r="BH20" s="20" t="s">
        <v>43</v>
      </c>
      <c r="BI20" s="20" t="s">
        <v>43</v>
      </c>
      <c r="BJ20" s="20" t="s">
        <v>43</v>
      </c>
      <c r="BK20" t="str">
        <f ca="1">BL20&amp;BM20&amp;BN20&amp;BO20&amp;BP20&amp;BQ20&amp;BR20&amp;BS20&amp;BT20&amp;BU20&amp;BV20&amp;BW20&amp;BX20&amp;BY20&amp;BZ20&amp;CA20</f>
        <v>('KGJPN','CD2016031500020','KGJPN','1408000','CD2016031500020',0,1,'RECORDING','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L20" t="str">
        <f ca="1">""&amp;"('"&amp;B20&amp;"'"&amp;",'"&amp;C20&amp;"'"&amp;",'"&amp;D20&amp;"'"&amp;",'"&amp;E20&amp;"'"&amp;",'"&amp;F20&amp;"'"&amp;","&amp;G20&amp;","&amp;H20&amp;",'"&amp;I20&amp;"'"&amp;",'"&amp;J20&amp;"'"&amp;","&amp;K20&amp;",'"&amp;L20&amp;"'"&amp;",'"&amp;M20&amp;"'"&amp;",'"&amp;N20&amp;"'"&amp;",'"&amp;O20&amp;"'"&amp;",'"&amp;P20&amp;"'"</f>
        <v>('KGJPN','CD2016031500020','KGJPN','1408000','CD2016031500020',0,1,'RECORDING',' ',2,'Y','KGJPN','AC100030',' ','KJ0245'</v>
      </c>
      <c r="BM20" t="str">
        <f>""&amp;",'"&amp;Q20&amp;"'"&amp;",'"&amp;R20&amp;"'"&amp;",'"&amp;S20&amp;"'"&amp;",'"&amp;T20&amp;"'"&amp;",'"&amp;U20&amp;"'"&amp;",'"&amp;V20&amp;"'"&amp;",'"&amp;W20&amp;"'"&amp;",'"&amp;X20&amp;"'"&amp;",'"&amp;Y20&amp;"'"&amp;",'"&amp;Z20&amp;"'"&amp;",'"&amp;AA20&amp;"'"&amp;",'"&amp;AB20&amp;"'"&amp;",'"&amp;AC20&amp;"'"&amp;",'"&amp;AD20&amp;"'"&amp;","&amp;AE20&amp;","&amp;AF20</f>
        <v>,' ',' ',' ',' ',' ',' ',' ',' ',' ','1408000',' ',' ',' ',' ',-200000,0</v>
      </c>
      <c r="BN20" t="str">
        <f>""&amp;",'"&amp;AG20&amp;"'"&amp;",'"&amp;AH20&amp;"'"&amp;",'"&amp;AI20&amp;"'"&amp;",'"&amp;AJ20&amp;"'"&amp;","&amp;IF(AK20=0,"null",TEXT(AK20,"'yyyy-mm-dd'"))&amp;",'"&amp;AL20&amp;"'"&amp;","&amp;AM20&amp;",'"&amp;AN20&amp;"'"&amp;","&amp;AO20&amp;","&amp;AP20&amp;",'"&amp;AQ20&amp;"'"&amp;",'"&amp;AR20&amp;"'"&amp;",'"&amp;AS20&amp;"'"&amp;",'"&amp;AT20&amp;"'"&amp;","&amp;IF(AU20=0,"null",TEXT(AU20,"'yyyy-mm-dd'"))&amp;",'"&amp;AV20&amp;"'"</f>
        <v>,'C',' ',' ','U','2016-03-31','JPY',-200000,'APTTM',1,1,'JPY','N',' ',' ','2016-03-31',' '</v>
      </c>
      <c r="BO20" t="str">
        <f>""&amp;",'"&amp;AW20&amp;"'"&amp;",'"&amp;AX20&amp;"'"&amp;",'"&amp;AY20&amp;"'"&amp;",'"&amp;AZ20&amp;"'"&amp;",'"&amp;BA20&amp;"'"&amp;",'"&amp;BB20&amp;"'"&amp;",'"&amp;BC20&amp;"'"&amp;",'"&amp;BD20&amp;"'"&amp;",'"&amp;BE20&amp;"'"&amp;",'"&amp;BF20&amp;"'"&amp;",'"&amp;BG20&amp;"'"&amp;",'"&amp;BH20&amp;"'"&amp;",'"&amp;BI20&amp;"'"&amp;",'"&amp;BJ20&amp;"'"</f>
        <v>,'N',' ',' ',' ',' ',' ',' ',' ',' ',' ',' ',' ',' ',' '</v>
      </c>
      <c r="BP20" t="str">
        <f>""</f>
        <v/>
      </c>
      <c r="BQ20" t="str">
        <f>""</f>
        <v/>
      </c>
      <c r="BR20" t="str">
        <f>""</f>
        <v/>
      </c>
      <c r="BS20" t="str">
        <f>""</f>
        <v/>
      </c>
      <c r="BT20" t="str">
        <f>""</f>
        <v/>
      </c>
      <c r="BU20" t="str">
        <f>""</f>
        <v/>
      </c>
      <c r="BV20" t="str">
        <f>""</f>
        <v/>
      </c>
      <c r="BW20" t="str">
        <f>""</f>
        <v/>
      </c>
      <c r="BX20" t="str">
        <f>""</f>
        <v/>
      </c>
      <c r="BY20" t="str">
        <f>""</f>
        <v/>
      </c>
      <c r="BZ20" t="str">
        <f>""</f>
        <v/>
      </c>
      <c r="CA20" t="s">
        <v>44</v>
      </c>
    </row>
    <row r="21" spans="1:165" x14ac:dyDescent="0.15">
      <c r="A21" s="25" t="str">
        <f ca="1">BK21</f>
        <v>('KGJPN','CD2016031500020','KGJPN','1408000','CD2016031500020',0,1,'RECORDING','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21" s="15" t="str">
        <f>$C$1</f>
        <v>KGJPN</v>
      </c>
      <c r="C21" s="24" t="str">
        <f ca="1">$C$3</f>
        <v>CD2016031500020</v>
      </c>
      <c r="D21" s="15" t="str">
        <f>$C$1</f>
        <v>KGJPN</v>
      </c>
      <c r="E21" s="15" t="str">
        <f>$C$2</f>
        <v>1408000</v>
      </c>
      <c r="F21" s="24" t="str">
        <f ca="1">$C$3</f>
        <v>CD2016031500020</v>
      </c>
      <c r="G21" s="21">
        <v>0</v>
      </c>
      <c r="H21" s="21">
        <v>1</v>
      </c>
      <c r="I21" s="20" t="s">
        <v>298</v>
      </c>
      <c r="J21" s="20" t="s">
        <v>43</v>
      </c>
      <c r="K21" s="21">
        <v>3</v>
      </c>
      <c r="L21" s="20" t="s">
        <v>0</v>
      </c>
      <c r="M21" s="15" t="str">
        <f>$C$1</f>
        <v>KGJPN</v>
      </c>
      <c r="N21" s="20" t="s">
        <v>303</v>
      </c>
      <c r="O21" s="20" t="s">
        <v>43</v>
      </c>
      <c r="P21" s="15" t="str">
        <f>$C$7</f>
        <v>KJ0245</v>
      </c>
      <c r="Q21" s="20" t="s">
        <v>43</v>
      </c>
      <c r="R21" s="20" t="s">
        <v>43</v>
      </c>
      <c r="S21" s="20" t="s">
        <v>43</v>
      </c>
      <c r="T21" s="20" t="s">
        <v>43</v>
      </c>
      <c r="U21" s="20" t="s">
        <v>43</v>
      </c>
      <c r="V21" s="20" t="s">
        <v>43</v>
      </c>
      <c r="W21" s="20" t="s">
        <v>43</v>
      </c>
      <c r="X21" s="20" t="s">
        <v>43</v>
      </c>
      <c r="Y21" s="20" t="s">
        <v>43</v>
      </c>
      <c r="Z21" s="15" t="str">
        <f>$C$2</f>
        <v>1408000</v>
      </c>
      <c r="AA21" s="20" t="s">
        <v>43</v>
      </c>
      <c r="AB21" s="20" t="s">
        <v>43</v>
      </c>
      <c r="AC21" s="20" t="s">
        <v>43</v>
      </c>
      <c r="AD21" s="20" t="s">
        <v>43</v>
      </c>
      <c r="AE21" s="23">
        <f>-1*$C$6</f>
        <v>-16000</v>
      </c>
      <c r="AF21" s="21">
        <v>0</v>
      </c>
      <c r="AG21" s="20" t="s">
        <v>188</v>
      </c>
      <c r="AH21" s="20" t="s">
        <v>43</v>
      </c>
      <c r="AI21" s="20" t="s">
        <v>43</v>
      </c>
      <c r="AJ21" s="20" t="s">
        <v>304</v>
      </c>
      <c r="AK21" s="22">
        <v>42460</v>
      </c>
      <c r="AL21" s="20" t="s">
        <v>193</v>
      </c>
      <c r="AM21" s="23">
        <f>-1*$C$6</f>
        <v>-16000</v>
      </c>
      <c r="AN21" s="20" t="s">
        <v>194</v>
      </c>
      <c r="AO21" s="21">
        <v>1</v>
      </c>
      <c r="AP21" s="21">
        <v>1</v>
      </c>
      <c r="AQ21" s="20" t="s">
        <v>193</v>
      </c>
      <c r="AR21" s="20" t="s">
        <v>65</v>
      </c>
      <c r="AS21" s="20" t="s">
        <v>43</v>
      </c>
      <c r="AT21" s="20" t="s">
        <v>43</v>
      </c>
      <c r="AU21" s="22">
        <v>42460</v>
      </c>
      <c r="AV21" s="20" t="s">
        <v>43</v>
      </c>
      <c r="AW21" s="20" t="s">
        <v>65</v>
      </c>
      <c r="AX21" s="20" t="s">
        <v>43</v>
      </c>
      <c r="AY21" s="20" t="s">
        <v>43</v>
      </c>
      <c r="AZ21" s="20" t="s">
        <v>43</v>
      </c>
      <c r="BA21" s="20" t="s">
        <v>43</v>
      </c>
      <c r="BB21" s="20" t="s">
        <v>43</v>
      </c>
      <c r="BC21" s="20" t="s">
        <v>248</v>
      </c>
      <c r="BD21" s="20" t="s">
        <v>249</v>
      </c>
      <c r="BE21" s="20" t="s">
        <v>250</v>
      </c>
      <c r="BF21" s="20" t="s">
        <v>251</v>
      </c>
      <c r="BG21" s="20" t="s">
        <v>43</v>
      </c>
      <c r="BH21" s="20" t="s">
        <v>43</v>
      </c>
      <c r="BI21" s="20" t="s">
        <v>43</v>
      </c>
      <c r="BJ21" s="20" t="s">
        <v>43</v>
      </c>
      <c r="BK21" t="str">
        <f ca="1">BL21&amp;BM21&amp;BN21&amp;BO21&amp;BP21&amp;BQ21&amp;BR21&amp;BS21&amp;BT21&amp;BU21&amp;BV21&amp;BW21&amp;BX21&amp;BY21&amp;BZ21&amp;CA21</f>
        <v>('KGJPN','CD2016031500020','KGJPN','1408000','CD2016031500020',0,1,'RECORDING','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L21" t="str">
        <f ca="1">""&amp;"('"&amp;B21&amp;"'"&amp;",'"&amp;C21&amp;"'"&amp;",'"&amp;D21&amp;"'"&amp;",'"&amp;E21&amp;"'"&amp;",'"&amp;F21&amp;"'"&amp;","&amp;G21&amp;","&amp;H21&amp;",'"&amp;I21&amp;"'"&amp;",'"&amp;J21&amp;"'"&amp;","&amp;K21&amp;",'"&amp;L21&amp;"'"&amp;",'"&amp;M21&amp;"'"&amp;",'"&amp;N21&amp;"'"&amp;",'"&amp;O21&amp;"'"&amp;",'"&amp;P21&amp;"'"</f>
        <v>('KGJPN','CD2016031500020','KGJPN','1408000','CD2016031500020',0,1,'RECORDING',' ',3,'Y','KGJPN','AC700260',' ','KJ0245'</v>
      </c>
      <c r="BM21" t="str">
        <f>""&amp;",'"&amp;Q21&amp;"'"&amp;",'"&amp;R21&amp;"'"&amp;",'"&amp;S21&amp;"'"&amp;",'"&amp;T21&amp;"'"&amp;",'"&amp;U21&amp;"'"&amp;",'"&amp;V21&amp;"'"&amp;",'"&amp;W21&amp;"'"&amp;",'"&amp;X21&amp;"'"&amp;",'"&amp;Y21&amp;"'"&amp;",'"&amp;Z21&amp;"'"&amp;",'"&amp;AA21&amp;"'"&amp;",'"&amp;AB21&amp;"'"&amp;",'"&amp;AC21&amp;"'"&amp;",'"&amp;AD21&amp;"'"&amp;","&amp;AE21&amp;","&amp;AF21</f>
        <v>,' ',' ',' ',' ',' ',' ',' ',' ',' ','1408000',' ',' ',' ',' ',-16000,0</v>
      </c>
      <c r="BN21" t="str">
        <f>""&amp;",'"&amp;AG21&amp;"'"&amp;",'"&amp;AH21&amp;"'"&amp;",'"&amp;AI21&amp;"'"&amp;",'"&amp;AJ21&amp;"'"&amp;","&amp;IF(AK21=0,"null",TEXT(AK21,"'yyyy-mm-dd'"))&amp;",'"&amp;AL21&amp;"'"&amp;","&amp;AM21&amp;",'"&amp;AN21&amp;"'"&amp;","&amp;AO21&amp;","&amp;AP21&amp;",'"&amp;AQ21&amp;"'"&amp;",'"&amp;AR21&amp;"'"&amp;",'"&amp;AS21&amp;"'"&amp;",'"&amp;AT21&amp;"'"&amp;","&amp;IF(AU21=0,"null",TEXT(AU21,"'yyyy-mm-dd'"))&amp;",'"&amp;AV21&amp;"'"</f>
        <v>,'C',' ',' ','V','2016-03-31','JPY',-16000,'APTTM',1,1,'JPY','N',' ',' ','2016-03-31',' '</v>
      </c>
      <c r="BO21" t="str">
        <f>""&amp;",'"&amp;AW21&amp;"'"&amp;",'"&amp;AX21&amp;"'"&amp;",'"&amp;AY21&amp;"'"&amp;",'"&amp;AZ21&amp;"'"&amp;",'"&amp;BA21&amp;"'"&amp;",'"&amp;BB21&amp;"'"&amp;",'"&amp;BC21&amp;"'"&amp;",'"&amp;BD21&amp;"'"&amp;",'"&amp;BE21&amp;"'"&amp;",'"&amp;BF21&amp;"'"&amp;",'"&amp;BG21&amp;"'"&amp;",'"&amp;BH21&amp;"'"&amp;",'"&amp;BI21&amp;"'"&amp;",'"&amp;BJ21&amp;"'"</f>
        <v>,'N',' ',' ',' ',' ',' ','T','SK','KGT08','VO',' ',' ',' ',' '</v>
      </c>
      <c r="BP21" t="str">
        <f>""</f>
        <v/>
      </c>
      <c r="BQ21" t="str">
        <f>""</f>
        <v/>
      </c>
      <c r="BR21" t="str">
        <f>""</f>
        <v/>
      </c>
      <c r="BS21" t="str">
        <f>""</f>
        <v/>
      </c>
      <c r="BT21" t="str">
        <f>""</f>
        <v/>
      </c>
      <c r="BU21" t="str">
        <f>""</f>
        <v/>
      </c>
      <c r="BV21" t="str">
        <f>""</f>
        <v/>
      </c>
      <c r="BW21" t="str">
        <f>""</f>
        <v/>
      </c>
      <c r="BX21" t="str">
        <f>""</f>
        <v/>
      </c>
      <c r="BY21" t="str">
        <f>""</f>
        <v/>
      </c>
      <c r="BZ21" t="str">
        <f>""</f>
        <v/>
      </c>
      <c r="CA21" t="s">
        <v>359</v>
      </c>
    </row>
    <row r="22" spans="1:165" hidden="1" x14ac:dyDescent="0.15">
      <c r="B22" s="3" t="s">
        <v>427</v>
      </c>
      <c r="E22" t="s">
        <v>428</v>
      </c>
    </row>
    <row r="23" spans="1:165" x14ac:dyDescent="0.15">
      <c r="A23" s="25" t="str">
        <f>Y23</f>
        <v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v>
      </c>
      <c r="B23" s="18" t="s">
        <v>206</v>
      </c>
      <c r="C23" s="18" t="s">
        <v>207</v>
      </c>
      <c r="D23" s="18" t="s">
        <v>35</v>
      </c>
      <c r="E23" s="18" t="s">
        <v>36</v>
      </c>
      <c r="F23" s="18" t="s">
        <v>46</v>
      </c>
      <c r="G23" s="18" t="s">
        <v>47</v>
      </c>
      <c r="H23" s="18" t="s">
        <v>208</v>
      </c>
      <c r="I23" s="18" t="s">
        <v>232</v>
      </c>
      <c r="J23" s="18" t="s">
        <v>233</v>
      </c>
      <c r="K23" s="18" t="s">
        <v>234</v>
      </c>
      <c r="L23" s="18" t="s">
        <v>235</v>
      </c>
      <c r="M23" s="18" t="s">
        <v>236</v>
      </c>
      <c r="N23" s="36" t="s">
        <v>237</v>
      </c>
      <c r="O23" s="18" t="s">
        <v>238</v>
      </c>
      <c r="P23" s="18" t="s">
        <v>240</v>
      </c>
      <c r="Q23" s="18" t="s">
        <v>241</v>
      </c>
      <c r="R23" s="18" t="s">
        <v>242</v>
      </c>
      <c r="S23" s="18" t="s">
        <v>244</v>
      </c>
      <c r="T23" s="18" t="s">
        <v>246</v>
      </c>
      <c r="U23" s="18" t="s">
        <v>209</v>
      </c>
      <c r="V23" s="18" t="s">
        <v>243</v>
      </c>
      <c r="W23" s="18" t="s">
        <v>239</v>
      </c>
      <c r="X23" s="18" t="s">
        <v>245</v>
      </c>
      <c r="Y23" t="s">
        <v>429</v>
      </c>
    </row>
    <row r="24" spans="1:165" x14ac:dyDescent="0.15">
      <c r="A24" s="25" t="str">
        <f ca="1">Y24</f>
        <v>('KGJPN','CD2016031500020','KGJPN','1408000','CD2016031500020',0,1,'T','SK','KGT08','VO',8,'2016-03-31',200000,200000,200000,16000,0,'N','JPY',16000,200000,0);</v>
      </c>
      <c r="B24" s="15" t="str">
        <f>$C$1</f>
        <v>KGJPN</v>
      </c>
      <c r="C24" s="24" t="str">
        <f ca="1">$C$3</f>
        <v>CD2016031500020</v>
      </c>
      <c r="D24" s="15" t="str">
        <f>$C$1</f>
        <v>KGJPN</v>
      </c>
      <c r="E24" s="15" t="str">
        <f>$C$2</f>
        <v>1408000</v>
      </c>
      <c r="F24" s="24" t="str">
        <f ca="1">$C$3</f>
        <v>CD2016031500020</v>
      </c>
      <c r="G24" s="21">
        <v>0</v>
      </c>
      <c r="H24" s="21">
        <v>1</v>
      </c>
      <c r="I24" s="20" t="s">
        <v>248</v>
      </c>
      <c r="J24" s="20" t="s">
        <v>249</v>
      </c>
      <c r="K24" s="20" t="s">
        <v>250</v>
      </c>
      <c r="L24" s="20" t="s">
        <v>251</v>
      </c>
      <c r="M24" s="21">
        <v>8</v>
      </c>
      <c r="N24" s="22">
        <v>42460</v>
      </c>
      <c r="O24" s="23">
        <f>$C$5</f>
        <v>200000</v>
      </c>
      <c r="P24" s="23">
        <f>$C$5</f>
        <v>200000</v>
      </c>
      <c r="Q24" s="23">
        <f>$C$5</f>
        <v>200000</v>
      </c>
      <c r="R24" s="23">
        <f>$C$6</f>
        <v>16000</v>
      </c>
      <c r="S24" s="21">
        <v>0</v>
      </c>
      <c r="T24" s="20" t="s">
        <v>65</v>
      </c>
      <c r="U24" s="20" t="s">
        <v>193</v>
      </c>
      <c r="V24" s="23">
        <f>$C$6</f>
        <v>16000</v>
      </c>
      <c r="W24" s="23">
        <f>$C$5</f>
        <v>200000</v>
      </c>
      <c r="X24" s="21">
        <v>0</v>
      </c>
      <c r="Y24" t="str">
        <f ca="1">Z24&amp;AA24&amp;AB24&amp;AC24&amp;AD24&amp;AE24&amp;AF24&amp;AG24&amp;AH24&amp;AI24&amp;AJ24&amp;AK24&amp;AL24&amp;AM24&amp;AN24&amp;AO24</f>
        <v>('KGJPN','CD2016031500020','KGJPN','1408000','CD2016031500020',0,1,'T','SK','KGT08','VO',8,'2016-03-31',200000,200000,200000,16000,0,'N','JPY',16000,200000,0);</v>
      </c>
      <c r="Z24" t="str">
        <f ca="1">""&amp;"('"&amp;B24&amp;"'"&amp;",'"&amp;C24&amp;"'"&amp;",'"&amp;D24&amp;"'"&amp;",'"&amp;E24&amp;"'"&amp;",'"&amp;F24&amp;"'"&amp;","&amp;G24&amp;","&amp;H24&amp;",'"&amp;I24&amp;"'"&amp;",'"&amp;J24&amp;"'"&amp;",'"&amp;K24&amp;"'"&amp;",'"&amp;L24&amp;"'"&amp;","&amp;M24&amp;","&amp;IF(N24=0,"null",TEXT(N24,"'yyyy-mm-dd'"))&amp;","&amp;O24&amp;","&amp;P24</f>
        <v>('KGJPN','CD2016031500020','KGJPN','1408000','CD2016031500020',0,1,'T','SK','KGT08','VO',8,'2016-03-31',200000,200000</v>
      </c>
      <c r="AA24" t="str">
        <f>""&amp;","&amp;Q24&amp;","&amp;R24&amp;","&amp;S24&amp;",'"&amp;T24&amp;"'"&amp;",'"&amp;U24&amp;"'"&amp;","&amp;V24&amp;","&amp;W24&amp;","&amp;X24</f>
        <v>,200000,16000,0,'N','JPY',16000,200000,0</v>
      </c>
      <c r="AB24" t="str">
        <f>""</f>
        <v/>
      </c>
      <c r="AC24" t="str">
        <f>""</f>
        <v/>
      </c>
      <c r="AD24" t="str">
        <f>""</f>
        <v/>
      </c>
      <c r="AE24" t="str">
        <f>""</f>
        <v/>
      </c>
      <c r="AF24" t="str">
        <f>""</f>
        <v/>
      </c>
      <c r="AG24" t="str">
        <f>""</f>
        <v/>
      </c>
      <c r="AH24" t="str">
        <f>""</f>
        <v/>
      </c>
      <c r="AI24" t="str">
        <f>""</f>
        <v/>
      </c>
      <c r="AJ24" t="str">
        <f>""</f>
        <v/>
      </c>
      <c r="AK24" t="str">
        <f>""</f>
        <v/>
      </c>
      <c r="AL24" t="str">
        <f>""</f>
        <v/>
      </c>
      <c r="AM24" t="str">
        <f>""</f>
        <v/>
      </c>
      <c r="AN24" t="str">
        <f>""</f>
        <v/>
      </c>
      <c r="AO24" t="s">
        <v>359</v>
      </c>
    </row>
    <row r="25" spans="1:165" hidden="1" x14ac:dyDescent="0.15">
      <c r="B25" s="3" t="s">
        <v>430</v>
      </c>
      <c r="E25" t="s">
        <v>431</v>
      </c>
    </row>
    <row r="26" spans="1:165" x14ac:dyDescent="0.15">
      <c r="A26" s="25" t="str">
        <f>CP26</f>
        <v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v>
      </c>
      <c r="B26" s="18" t="s">
        <v>35</v>
      </c>
      <c r="C26" s="18" t="s">
        <v>36</v>
      </c>
      <c r="D26" s="18" t="s">
        <v>46</v>
      </c>
      <c r="E26" s="18" t="s">
        <v>47</v>
      </c>
      <c r="F26" s="18" t="s">
        <v>105</v>
      </c>
      <c r="G26" s="18" t="s">
        <v>49</v>
      </c>
      <c r="H26" s="18" t="s">
        <v>50</v>
      </c>
      <c r="I26" s="18" t="s">
        <v>202</v>
      </c>
      <c r="J26" s="18" t="s">
        <v>52</v>
      </c>
      <c r="K26" s="36" t="s">
        <v>68</v>
      </c>
      <c r="L26" s="18" t="s">
        <v>70</v>
      </c>
      <c r="M26" s="36" t="s">
        <v>69</v>
      </c>
      <c r="N26" s="18" t="s">
        <v>48</v>
      </c>
      <c r="O26" s="18" t="s">
        <v>79</v>
      </c>
      <c r="P26" s="18" t="s">
        <v>203</v>
      </c>
      <c r="Q26" s="18" t="s">
        <v>204</v>
      </c>
      <c r="R26" s="18" t="s">
        <v>205</v>
      </c>
      <c r="S26" s="18" t="s">
        <v>33</v>
      </c>
      <c r="T26" s="18" t="s">
        <v>34</v>
      </c>
      <c r="U26" s="18" t="s">
        <v>206</v>
      </c>
      <c r="V26" s="18" t="s">
        <v>207</v>
      </c>
      <c r="W26" s="18" t="s">
        <v>208</v>
      </c>
      <c r="X26" s="18" t="s">
        <v>90</v>
      </c>
      <c r="Y26" s="18" t="s">
        <v>37</v>
      </c>
      <c r="Z26" s="18" t="s">
        <v>38</v>
      </c>
      <c r="AA26" s="18" t="s">
        <v>107</v>
      </c>
      <c r="AB26" s="18" t="s">
        <v>209</v>
      </c>
      <c r="AC26" s="18" t="s">
        <v>60</v>
      </c>
      <c r="AD26" s="18" t="s">
        <v>61</v>
      </c>
      <c r="AE26" s="18" t="s">
        <v>62</v>
      </c>
      <c r="AF26" s="18" t="s">
        <v>210</v>
      </c>
      <c r="AG26" s="18" t="s">
        <v>211</v>
      </c>
      <c r="AH26" s="18" t="s">
        <v>212</v>
      </c>
      <c r="AI26" s="18" t="s">
        <v>213</v>
      </c>
      <c r="AJ26" s="18" t="s">
        <v>214</v>
      </c>
      <c r="AK26" s="18" t="s">
        <v>215</v>
      </c>
      <c r="AL26" s="18" t="s">
        <v>58</v>
      </c>
      <c r="AM26" s="18" t="s">
        <v>56</v>
      </c>
      <c r="AN26" s="18" t="s">
        <v>51</v>
      </c>
      <c r="AO26" s="18" t="s">
        <v>216</v>
      </c>
      <c r="AP26" s="18" t="s">
        <v>217</v>
      </c>
      <c r="AQ26" s="18" t="s">
        <v>218</v>
      </c>
      <c r="AR26" s="18" t="s">
        <v>219</v>
      </c>
      <c r="AS26" s="18" t="s">
        <v>220</v>
      </c>
      <c r="AT26" s="18" t="s">
        <v>131</v>
      </c>
      <c r="AU26" s="18" t="s">
        <v>132</v>
      </c>
      <c r="AV26" s="18" t="s">
        <v>72</v>
      </c>
      <c r="AW26" s="18" t="s">
        <v>73</v>
      </c>
      <c r="AX26" s="18" t="s">
        <v>74</v>
      </c>
      <c r="AY26" s="18" t="s">
        <v>45</v>
      </c>
      <c r="AZ26" s="18" t="s">
        <v>78</v>
      </c>
      <c r="BA26" s="18" t="s">
        <v>106</v>
      </c>
      <c r="BB26" s="18" t="s">
        <v>123</v>
      </c>
      <c r="BC26" s="18" t="s">
        <v>124</v>
      </c>
      <c r="BD26" s="18" t="s">
        <v>125</v>
      </c>
      <c r="BE26" s="18" t="s">
        <v>126</v>
      </c>
      <c r="BF26" s="18" t="s">
        <v>139</v>
      </c>
      <c r="BG26" s="18" t="s">
        <v>140</v>
      </c>
      <c r="BH26" s="18" t="s">
        <v>141</v>
      </c>
      <c r="BI26" s="18" t="s">
        <v>142</v>
      </c>
      <c r="BJ26" s="18" t="s">
        <v>143</v>
      </c>
      <c r="BK26" s="18" t="s">
        <v>221</v>
      </c>
      <c r="BL26" s="18" t="s">
        <v>222</v>
      </c>
      <c r="BM26" s="18" t="s">
        <v>63</v>
      </c>
      <c r="BN26" s="18" t="s">
        <v>54</v>
      </c>
      <c r="BO26" s="18" t="s">
        <v>55</v>
      </c>
      <c r="BP26" s="18" t="s">
        <v>147</v>
      </c>
      <c r="BQ26" s="18" t="s">
        <v>148</v>
      </c>
      <c r="BR26" s="18" t="s">
        <v>149</v>
      </c>
      <c r="BS26" s="18" t="s">
        <v>150</v>
      </c>
      <c r="BT26" s="18" t="s">
        <v>151</v>
      </c>
      <c r="BU26" s="18" t="s">
        <v>152</v>
      </c>
      <c r="BV26" s="36" t="s">
        <v>153</v>
      </c>
      <c r="BW26" s="18" t="s">
        <v>154</v>
      </c>
      <c r="BX26" s="18" t="s">
        <v>155</v>
      </c>
      <c r="BY26" s="18" t="s">
        <v>156</v>
      </c>
      <c r="BZ26" s="18" t="s">
        <v>157</v>
      </c>
      <c r="CA26" s="18" t="s">
        <v>158</v>
      </c>
      <c r="CB26" s="18" t="s">
        <v>159</v>
      </c>
      <c r="CC26" s="18" t="s">
        <v>160</v>
      </c>
      <c r="CD26" s="18" t="s">
        <v>161</v>
      </c>
      <c r="CE26" s="18" t="s">
        <v>162</v>
      </c>
      <c r="CF26" s="18" t="s">
        <v>163</v>
      </c>
      <c r="CG26" s="18" t="s">
        <v>164</v>
      </c>
      <c r="CH26" s="18" t="s">
        <v>165</v>
      </c>
      <c r="CI26" s="18" t="s">
        <v>166</v>
      </c>
      <c r="CJ26" s="18" t="s">
        <v>169</v>
      </c>
      <c r="CK26" s="18" t="s">
        <v>223</v>
      </c>
      <c r="CL26" s="18" t="s">
        <v>224</v>
      </c>
      <c r="CM26" s="18" t="s">
        <v>225</v>
      </c>
      <c r="CN26" s="18" t="s">
        <v>226</v>
      </c>
      <c r="CO26" s="18" t="s">
        <v>227</v>
      </c>
      <c r="CP26" t="s">
        <v>432</v>
      </c>
    </row>
    <row r="27" spans="1:165" x14ac:dyDescent="0.15">
      <c r="A27" s="25" t="str">
        <f ca="1">CP27</f>
        <v>('KGJPN','1408000','CD2016031500020',0,1,'CDDR','DOMES',216000,' ','2016-03-31','2016-04-01','2016-03-31',' ',0,' ',' ',0,' ',' ','KGJPN','CD2016031500020',1,'N',' ',' ','Y','JPY','APTTM',1,1,0,' ',' ',0,1,216000,'JPY',0,'IT-01','PSCD1',' ','B',' ','N',' ',' ','AAA','AAA','AAA','2016031500020',0,' ',' ',' ',' ',' ','KGJPN','0005','0018',' ',' ',11309435,' ',0,0,0,1,0,0,0,0,0,'2016-03-31',null,null,null,' ','KJ0245',' ',' ',' ','44','FB','S',' ',' ',0,'N',' ','N','N',' ');</v>
      </c>
      <c r="B27" s="15" t="str">
        <f>$C$1</f>
        <v>KGJPN</v>
      </c>
      <c r="C27" s="15" t="str">
        <f>$C$2</f>
        <v>1408000</v>
      </c>
      <c r="D27" s="24" t="str">
        <f ca="1">$C$3</f>
        <v>CD2016031500020</v>
      </c>
      <c r="E27" s="21">
        <v>0</v>
      </c>
      <c r="F27" s="21">
        <v>1</v>
      </c>
      <c r="G27" s="20" t="s">
        <v>189</v>
      </c>
      <c r="H27" s="20" t="s">
        <v>350</v>
      </c>
      <c r="I27" s="23">
        <f>$C$4</f>
        <v>216000</v>
      </c>
      <c r="J27" s="20" t="s">
        <v>43</v>
      </c>
      <c r="K27" s="22">
        <v>42460</v>
      </c>
      <c r="L27" s="22">
        <v>42461</v>
      </c>
      <c r="M27" s="22">
        <v>42460</v>
      </c>
      <c r="N27" s="20" t="s">
        <v>43</v>
      </c>
      <c r="O27" s="21">
        <v>0</v>
      </c>
      <c r="P27" s="20" t="s">
        <v>43</v>
      </c>
      <c r="Q27" s="20" t="s">
        <v>43</v>
      </c>
      <c r="R27" s="21">
        <v>0</v>
      </c>
      <c r="S27" s="20" t="s">
        <v>43</v>
      </c>
      <c r="T27" s="20" t="s">
        <v>43</v>
      </c>
      <c r="U27" s="20" t="str">
        <f>$C$1</f>
        <v>KGJPN</v>
      </c>
      <c r="V27" s="24" t="str">
        <f ca="1">$C$3</f>
        <v>CD2016031500020</v>
      </c>
      <c r="W27" s="21">
        <v>1</v>
      </c>
      <c r="X27" s="20" t="s">
        <v>65</v>
      </c>
      <c r="Y27" s="20" t="s">
        <v>43</v>
      </c>
      <c r="Z27" s="20" t="s">
        <v>43</v>
      </c>
      <c r="AA27" s="20" t="s">
        <v>0</v>
      </c>
      <c r="AB27" s="20" t="s">
        <v>193</v>
      </c>
      <c r="AC27" s="20" t="s">
        <v>194</v>
      </c>
      <c r="AD27" s="21">
        <v>1</v>
      </c>
      <c r="AE27" s="21">
        <v>1</v>
      </c>
      <c r="AF27" s="21">
        <v>0</v>
      </c>
      <c r="AG27" s="20" t="s">
        <v>43</v>
      </c>
      <c r="AH27" s="20" t="s">
        <v>43</v>
      </c>
      <c r="AI27" s="21">
        <v>0</v>
      </c>
      <c r="AJ27" s="21">
        <v>1</v>
      </c>
      <c r="AK27" s="23">
        <f>$C$4</f>
        <v>216000</v>
      </c>
      <c r="AL27" s="20" t="s">
        <v>193</v>
      </c>
      <c r="AM27" s="21">
        <v>0</v>
      </c>
      <c r="AN27" s="20" t="s">
        <v>195</v>
      </c>
      <c r="AO27" s="20" t="s">
        <v>229</v>
      </c>
      <c r="AP27" s="20" t="s">
        <v>43</v>
      </c>
      <c r="AQ27" s="20" t="s">
        <v>230</v>
      </c>
      <c r="AR27" s="20" t="s">
        <v>43</v>
      </c>
      <c r="AS27" s="20" t="s">
        <v>65</v>
      </c>
      <c r="AT27" s="20" t="s">
        <v>43</v>
      </c>
      <c r="AU27" s="20" t="s">
        <v>43</v>
      </c>
      <c r="AV27" s="20" t="s">
        <v>190</v>
      </c>
      <c r="AW27" s="20" t="s">
        <v>190</v>
      </c>
      <c r="AX27" s="20" t="s">
        <v>190</v>
      </c>
      <c r="AY27" s="39" t="str">
        <f ca="1">RIGHT($C3,13)</f>
        <v>2016031500020</v>
      </c>
      <c r="AZ27" s="21">
        <v>0</v>
      </c>
      <c r="BA27" s="20" t="s">
        <v>43</v>
      </c>
      <c r="BB27" s="20" t="s">
        <v>43</v>
      </c>
      <c r="BC27" s="20" t="s">
        <v>43</v>
      </c>
      <c r="BD27" s="20" t="s">
        <v>43</v>
      </c>
      <c r="BE27" s="20" t="s">
        <v>43</v>
      </c>
      <c r="BF27" s="20" t="str">
        <f>$C$1</f>
        <v>KGJPN</v>
      </c>
      <c r="BG27" s="20" t="s">
        <v>199</v>
      </c>
      <c r="BH27" s="20" t="s">
        <v>200</v>
      </c>
      <c r="BI27" s="20" t="s">
        <v>43</v>
      </c>
      <c r="BJ27" s="20" t="s">
        <v>43</v>
      </c>
      <c r="BK27" s="21">
        <v>11309435</v>
      </c>
      <c r="BL27" s="20" t="s">
        <v>43</v>
      </c>
      <c r="BM27" s="21">
        <v>0</v>
      </c>
      <c r="BN27" s="21">
        <v>0</v>
      </c>
      <c r="BO27" s="21">
        <v>0</v>
      </c>
      <c r="BP27" s="21">
        <v>1</v>
      </c>
      <c r="BQ27" s="21">
        <v>0</v>
      </c>
      <c r="BR27" s="21">
        <v>0</v>
      </c>
      <c r="BS27" s="21">
        <v>0</v>
      </c>
      <c r="BT27" s="21">
        <v>0</v>
      </c>
      <c r="BU27" s="21">
        <v>0</v>
      </c>
      <c r="BV27" s="22">
        <v>42460</v>
      </c>
      <c r="BW27" s="21"/>
      <c r="BX27" s="21"/>
      <c r="BY27" s="21"/>
      <c r="BZ27" s="20" t="s">
        <v>43</v>
      </c>
      <c r="CA27" s="15" t="str">
        <f>$C$7</f>
        <v>KJ0245</v>
      </c>
      <c r="CB27" s="20" t="s">
        <v>43</v>
      </c>
      <c r="CC27" s="20" t="s">
        <v>43</v>
      </c>
      <c r="CD27" s="20" t="s">
        <v>43</v>
      </c>
      <c r="CE27" s="20" t="s">
        <v>354</v>
      </c>
      <c r="CF27" s="20" t="s">
        <v>355</v>
      </c>
      <c r="CG27" s="20" t="s">
        <v>201</v>
      </c>
      <c r="CH27" s="20" t="s">
        <v>43</v>
      </c>
      <c r="CI27" s="20" t="s">
        <v>43</v>
      </c>
      <c r="CJ27" s="21">
        <v>0</v>
      </c>
      <c r="CK27" s="20" t="s">
        <v>65</v>
      </c>
      <c r="CL27" s="20" t="s">
        <v>43</v>
      </c>
      <c r="CM27" s="20" t="s">
        <v>65</v>
      </c>
      <c r="CN27" s="20" t="s">
        <v>65</v>
      </c>
      <c r="CO27" s="20" t="s">
        <v>43</v>
      </c>
      <c r="CP27" t="str">
        <f ca="1">CQ27&amp;CR27&amp;CS27&amp;CT27&amp;CU27&amp;CV27&amp;CW27&amp;CX27&amp;CY27&amp;CZ27&amp;DA27&amp;DB27&amp;DC27&amp;DD27&amp;DE27&amp;DF27</f>
        <v>('KGJPN','1408000','CD2016031500020',0,1,'CDDR','DOMES',216000,' ','2016-03-31','2016-04-01','2016-03-31',' ',0,' ',' ',0,' ',' ','KGJPN','CD2016031500020',1,'N',' ',' ','Y','JPY','APTTM',1,1,0,' ',' ',0,1,216000,'JPY',0,'IT-01','PSCD1',' ','B',' ','N',' ',' ','AAA','AAA','AAA','2016031500020',0,' ',' ',' ',' ',' ','KGJPN','0005','0018',' ',' ',11309435,' ',0,0,0,1,0,0,0,0,0,'2016-03-31',null,null,null,' ','KJ0245',' ',' ',' ','44','FB','S',' ',' ',0,'N',' ','N','N',' ');</v>
      </c>
      <c r="CQ27" t="str">
        <f ca="1">""&amp;"('"&amp;B27&amp;"'"&amp;",'"&amp;C27&amp;"'"&amp;",'"&amp;D27&amp;"'"&amp;","&amp;E27&amp;","&amp;F27&amp;",'"&amp;G27&amp;"'"&amp;",'"&amp;H27&amp;"'"&amp;","&amp;I27&amp;",'"&amp;J27&amp;"'"&amp;","&amp;IF(K27=0,"null",TEXT(K27,"'yyyy-mm-dd'"))&amp;","&amp;IF(L27=0,"null",TEXT(L27,"'yyyy-mm-dd'"))&amp;","&amp;IF(M27=0,"null",TEXT(M27,"'yyyy-mm-dd'"))&amp;",'"&amp;N27&amp;"'"&amp;","&amp;O27&amp;",'"&amp;P27&amp;"'"</f>
        <v>('KGJPN','1408000','CD2016031500020',0,1,'CDDR','DOMES',216000,' ','2016-03-31','2016-04-01','2016-03-31',' ',0,' '</v>
      </c>
      <c r="CR27" t="str">
        <f ca="1">""&amp;",'"&amp;Q27&amp;"'"&amp;","&amp;R27&amp;",'"&amp;S27&amp;"'"&amp;",'"&amp;T27&amp;"'"&amp;",'"&amp;U27&amp;"'"&amp;",'"&amp;V27&amp;"'"&amp;","&amp;W27&amp;",'"&amp;X27&amp;"'"&amp;",'"&amp;Y27&amp;"'"&amp;",'"&amp;Z27&amp;"'"&amp;",'"&amp;AA27&amp;"'"&amp;",'"&amp;AB27&amp;"'"&amp;",'"&amp;AC27&amp;"'"&amp;","&amp;AD27&amp;","&amp;AE27&amp;","&amp;AF27</f>
        <v>,' ',0,' ',' ','KGJPN','CD2016031500020',1,'N',' ',' ','Y','JPY','APTTM',1,1,0</v>
      </c>
      <c r="CS27" t="str">
        <f>""&amp;",'"&amp;AG27&amp;"'"&amp;",'"&amp;AH27&amp;"'"&amp;","&amp;AI27&amp;","&amp;AJ27&amp;","&amp;AK27&amp;",'"&amp;AL27&amp;"'"&amp;","&amp;AM27&amp;",'"&amp;AN27&amp;"'"&amp;",'"&amp;AO27&amp;"'"&amp;",'"&amp;AP27&amp;"'"&amp;",'"&amp;AQ27&amp;"'"&amp;",'"&amp;AR27&amp;"'"&amp;",'"&amp;AS27&amp;"'"&amp;",'"&amp;AT27&amp;"'"&amp;",'"&amp;AU27&amp;"'"&amp;",'"&amp;AV27&amp;"'"</f>
        <v>,' ',' ',0,1,216000,'JPY',0,'IT-01','PSCD1',' ','B',' ','N',' ',' ','AAA'</v>
      </c>
      <c r="CT27" t="str">
        <f ca="1">""&amp;",'"&amp;AW27&amp;"'"&amp;",'"&amp;AX27&amp;"'"&amp;",'"&amp;AY27&amp;"'"&amp;","&amp;AZ27&amp;",'"&amp;BA27&amp;"'"&amp;",'"&amp;BB27&amp;"'"&amp;",'"&amp;BC27&amp;"'"&amp;",'"&amp;BD27&amp;"'"&amp;",'"&amp;BE27&amp;"'"&amp;",'"&amp;BF27&amp;"'"&amp;",'"&amp;BG27&amp;"'"&amp;",'"&amp;BH27&amp;"'"&amp;",'"&amp;BI27&amp;"'"&amp;",'"&amp;BJ27&amp;"'"&amp;","&amp;BK27&amp;",'"&amp;BL27&amp;"'"</f>
        <v>,'AAA','AAA','2016031500020',0,' ',' ',' ',' ',' ','KGJPN','0005','0018',' ',' ',11309435,' '</v>
      </c>
      <c r="CU27" t="str">
        <f>""&amp;","&amp;BM27&amp;","&amp;BN27&amp;","&amp;BO27&amp;","&amp;BP27&amp;","&amp;BQ27&amp;","&amp;BR27&amp;","&amp;BS27&amp;","&amp;BT27&amp;","&amp;BU27&amp;","&amp;IF(BV27=0,"null",TEXT(BV27,"'yyyy-mm-dd'"))&amp;","&amp;IF(BW27=0,"null",TEXT(BW27,"'yyyy-mm-dd'"))&amp;","&amp;IF(BX27=0,"null",TEXT(BX27,"'yyyy-mm-dd'"))&amp;","&amp;IF(BY27=0,"null",TEXT(BY27,"'yyyy-mm-dd'"))&amp;",'"&amp;BZ27&amp;"'"&amp;",'"&amp;CA27&amp;"'"&amp;",'"&amp;CB27&amp;"'"</f>
        <v>,0,0,0,1,0,0,0,0,0,'2016-03-31',null,null,null,' ','KJ0245',' '</v>
      </c>
      <c r="CV27" t="str">
        <f>""&amp;",'"&amp;CC27&amp;"'"&amp;",'"&amp;CD27&amp;"'"&amp;",'"&amp;CE27&amp;"'"&amp;",'"&amp;CF27&amp;"'"&amp;",'"&amp;CG27&amp;"'"&amp;",'"&amp;CH27&amp;"'"&amp;",'"&amp;CI27&amp;"'"&amp;","&amp;CJ27&amp;",'"&amp;CK27&amp;"'"&amp;",'"&amp;CL27&amp;"'"&amp;",'"&amp;CM27&amp;"'"&amp;",'"&amp;CN27&amp;"'"&amp;",'"&amp;CO27&amp;"'"</f>
        <v>,' ',' ','44','FB','S',' ',' ',0,'N',' ','N','N',' '</v>
      </c>
      <c r="CW27" t="str">
        <f>""</f>
        <v/>
      </c>
      <c r="CX27" t="str">
        <f>""</f>
        <v/>
      </c>
      <c r="CY27" t="str">
        <f>""</f>
        <v/>
      </c>
      <c r="CZ27" t="str">
        <f>""</f>
        <v/>
      </c>
      <c r="DA27" t="str">
        <f>""</f>
        <v/>
      </c>
      <c r="DB27" t="str">
        <f>""</f>
        <v/>
      </c>
      <c r="DC27" t="str">
        <f>""</f>
        <v/>
      </c>
      <c r="DD27" t="str">
        <f>""</f>
        <v/>
      </c>
      <c r="DE27" t="str">
        <f>""</f>
        <v/>
      </c>
      <c r="DF27" t="s">
        <v>359</v>
      </c>
    </row>
    <row r="28" spans="1:165" hidden="1" x14ac:dyDescent="0.15">
      <c r="B28" s="3" t="s">
        <v>433</v>
      </c>
      <c r="E28" t="s">
        <v>434</v>
      </c>
    </row>
    <row r="29" spans="1:165" x14ac:dyDescent="0.15">
      <c r="A29" s="25" t="str">
        <f>ES29</f>
        <v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v>
      </c>
      <c r="B29" s="18" t="s">
        <v>35</v>
      </c>
      <c r="C29" s="18" t="s">
        <v>36</v>
      </c>
      <c r="D29" s="18" t="s">
        <v>46</v>
      </c>
      <c r="E29" s="18" t="s">
        <v>47</v>
      </c>
      <c r="F29" s="18" t="s">
        <v>66</v>
      </c>
      <c r="G29" s="18" t="s">
        <v>49</v>
      </c>
      <c r="H29" s="18" t="s">
        <v>50</v>
      </c>
      <c r="I29" s="18" t="s">
        <v>52</v>
      </c>
      <c r="J29" s="18" t="s">
        <v>67</v>
      </c>
      <c r="K29" s="18" t="s">
        <v>435</v>
      </c>
      <c r="L29" s="36" t="s">
        <v>68</v>
      </c>
      <c r="M29" s="36" t="s">
        <v>69</v>
      </c>
      <c r="N29" s="18" t="s">
        <v>70</v>
      </c>
      <c r="O29" s="18" t="s">
        <v>436</v>
      </c>
      <c r="P29" s="18" t="s">
        <v>72</v>
      </c>
      <c r="Q29" s="18" t="s">
        <v>73</v>
      </c>
      <c r="R29" s="18" t="s">
        <v>74</v>
      </c>
      <c r="S29" s="18" t="s">
        <v>75</v>
      </c>
      <c r="T29" s="18" t="s">
        <v>76</v>
      </c>
      <c r="U29" s="18" t="s">
        <v>77</v>
      </c>
      <c r="V29" s="18" t="s">
        <v>45</v>
      </c>
      <c r="W29" s="18" t="s">
        <v>78</v>
      </c>
      <c r="X29" s="18" t="s">
        <v>48</v>
      </c>
      <c r="Y29" s="18" t="s">
        <v>79</v>
      </c>
      <c r="Z29" s="18" t="s">
        <v>80</v>
      </c>
      <c r="AA29" s="18" t="s">
        <v>81</v>
      </c>
      <c r="AB29" s="18" t="s">
        <v>82</v>
      </c>
      <c r="AC29" s="18" t="s">
        <v>83</v>
      </c>
      <c r="AD29" s="18" t="s">
        <v>84</v>
      </c>
      <c r="AE29" s="18" t="s">
        <v>85</v>
      </c>
      <c r="AF29" s="18" t="s">
        <v>86</v>
      </c>
      <c r="AG29" s="18" t="s">
        <v>87</v>
      </c>
      <c r="AH29" s="18" t="s">
        <v>88</v>
      </c>
      <c r="AI29" s="18" t="s">
        <v>89</v>
      </c>
      <c r="AJ29" s="18" t="s">
        <v>53</v>
      </c>
      <c r="AK29" s="18" t="s">
        <v>90</v>
      </c>
      <c r="AL29" s="18" t="s">
        <v>91</v>
      </c>
      <c r="AM29" s="18" t="s">
        <v>92</v>
      </c>
      <c r="AN29" s="18" t="s">
        <v>93</v>
      </c>
      <c r="AO29" s="18" t="s">
        <v>94</v>
      </c>
      <c r="AP29" s="18" t="s">
        <v>95</v>
      </c>
      <c r="AQ29" s="18" t="s">
        <v>96</v>
      </c>
      <c r="AR29" s="18" t="s">
        <v>97</v>
      </c>
      <c r="AS29" s="18" t="s">
        <v>98</v>
      </c>
      <c r="AT29" s="18" t="s">
        <v>99</v>
      </c>
      <c r="AU29" s="18" t="s">
        <v>100</v>
      </c>
      <c r="AV29" s="18" t="s">
        <v>101</v>
      </c>
      <c r="AW29" s="18" t="s">
        <v>102</v>
      </c>
      <c r="AX29" s="18" t="s">
        <v>103</v>
      </c>
      <c r="AY29" s="18" t="s">
        <v>104</v>
      </c>
      <c r="AZ29" s="18" t="s">
        <v>105</v>
      </c>
      <c r="BA29" s="18" t="s">
        <v>106</v>
      </c>
      <c r="BB29" s="18" t="s">
        <v>37</v>
      </c>
      <c r="BC29" s="18" t="s">
        <v>38</v>
      </c>
      <c r="BD29" s="18" t="s">
        <v>107</v>
      </c>
      <c r="BE29" s="18" t="s">
        <v>57</v>
      </c>
      <c r="BF29" s="18" t="s">
        <v>60</v>
      </c>
      <c r="BG29" s="18" t="s">
        <v>61</v>
      </c>
      <c r="BH29" s="18" t="s">
        <v>62</v>
      </c>
      <c r="BI29" s="18" t="s">
        <v>108</v>
      </c>
      <c r="BJ29" s="18" t="s">
        <v>109</v>
      </c>
      <c r="BK29" s="18" t="s">
        <v>58</v>
      </c>
      <c r="BL29" s="18" t="s">
        <v>51</v>
      </c>
      <c r="BM29" s="18" t="s">
        <v>110</v>
      </c>
      <c r="BN29" s="18" t="s">
        <v>111</v>
      </c>
      <c r="BO29" s="18" t="s">
        <v>112</v>
      </c>
      <c r="BP29" s="18" t="s">
        <v>113</v>
      </c>
      <c r="BQ29" s="18" t="s">
        <v>114</v>
      </c>
      <c r="BR29" s="18" t="s">
        <v>115</v>
      </c>
      <c r="BS29" s="18" t="s">
        <v>116</v>
      </c>
      <c r="BT29" s="18" t="s">
        <v>117</v>
      </c>
      <c r="BU29" s="18" t="s">
        <v>118</v>
      </c>
      <c r="BV29" s="18" t="s">
        <v>119</v>
      </c>
      <c r="BW29" s="18" t="s">
        <v>120</v>
      </c>
      <c r="BX29" s="18" t="s">
        <v>121</v>
      </c>
      <c r="BY29" s="18" t="s">
        <v>122</v>
      </c>
      <c r="BZ29" s="18" t="s">
        <v>123</v>
      </c>
      <c r="CA29" s="18" t="s">
        <v>124</v>
      </c>
      <c r="CB29" s="18" t="s">
        <v>125</v>
      </c>
      <c r="CC29" s="18" t="s">
        <v>126</v>
      </c>
      <c r="CD29" s="18" t="s">
        <v>127</v>
      </c>
      <c r="CE29" s="18" t="s">
        <v>128</v>
      </c>
      <c r="CF29" s="18" t="s">
        <v>129</v>
      </c>
      <c r="CG29" s="18" t="s">
        <v>130</v>
      </c>
      <c r="CH29" s="18" t="s">
        <v>131</v>
      </c>
      <c r="CI29" s="18" t="s">
        <v>132</v>
      </c>
      <c r="CJ29" s="18" t="s">
        <v>133</v>
      </c>
      <c r="CK29" s="18" t="s">
        <v>33</v>
      </c>
      <c r="CL29" s="18" t="s">
        <v>34</v>
      </c>
      <c r="CM29" s="18" t="s">
        <v>134</v>
      </c>
      <c r="CN29" s="18" t="s">
        <v>135</v>
      </c>
      <c r="CO29" s="18" t="s">
        <v>136</v>
      </c>
      <c r="CP29" s="18" t="s">
        <v>137</v>
      </c>
      <c r="CQ29" s="18" t="s">
        <v>138</v>
      </c>
      <c r="CR29" s="18" t="s">
        <v>139</v>
      </c>
      <c r="CS29" s="18" t="s">
        <v>140</v>
      </c>
      <c r="CT29" s="18" t="s">
        <v>141</v>
      </c>
      <c r="CU29" s="18" t="s">
        <v>142</v>
      </c>
      <c r="CV29" s="18" t="s">
        <v>143</v>
      </c>
      <c r="CW29" s="18" t="s">
        <v>144</v>
      </c>
      <c r="CX29" s="18" t="s">
        <v>145</v>
      </c>
      <c r="CY29" s="18" t="s">
        <v>146</v>
      </c>
      <c r="CZ29" s="18" t="s">
        <v>39</v>
      </c>
      <c r="DA29" s="18" t="s">
        <v>63</v>
      </c>
      <c r="DB29" s="18" t="s">
        <v>54</v>
      </c>
      <c r="DC29" s="18" t="s">
        <v>55</v>
      </c>
      <c r="DD29" s="18" t="s">
        <v>147</v>
      </c>
      <c r="DE29" s="18" t="s">
        <v>148</v>
      </c>
      <c r="DF29" s="18" t="s">
        <v>149</v>
      </c>
      <c r="DG29" s="18" t="s">
        <v>150</v>
      </c>
      <c r="DH29" s="18" t="s">
        <v>151</v>
      </c>
      <c r="DI29" s="18" t="s">
        <v>152</v>
      </c>
      <c r="DJ29" s="36" t="s">
        <v>153</v>
      </c>
      <c r="DK29" s="18" t="s">
        <v>154</v>
      </c>
      <c r="DL29" s="18" t="s">
        <v>155</v>
      </c>
      <c r="DM29" s="18" t="s">
        <v>156</v>
      </c>
      <c r="DN29" s="18" t="s">
        <v>157</v>
      </c>
      <c r="DO29" s="18" t="s">
        <v>158</v>
      </c>
      <c r="DP29" s="18" t="s">
        <v>159</v>
      </c>
      <c r="DQ29" s="18" t="s">
        <v>160</v>
      </c>
      <c r="DR29" s="18" t="s">
        <v>161</v>
      </c>
      <c r="DS29" s="18" t="s">
        <v>162</v>
      </c>
      <c r="DT29" s="18" t="s">
        <v>163</v>
      </c>
      <c r="DU29" s="18" t="s">
        <v>164</v>
      </c>
      <c r="DV29" s="18" t="s">
        <v>165</v>
      </c>
      <c r="DW29" s="18" t="s">
        <v>166</v>
      </c>
      <c r="DX29" s="18" t="s">
        <v>167</v>
      </c>
      <c r="DY29" s="36" t="s">
        <v>168</v>
      </c>
      <c r="DZ29" s="18" t="s">
        <v>169</v>
      </c>
      <c r="EA29" s="18" t="s">
        <v>170</v>
      </c>
      <c r="EB29" s="18" t="s">
        <v>171</v>
      </c>
      <c r="EC29" s="18" t="s">
        <v>172</v>
      </c>
      <c r="ED29" s="18" t="s">
        <v>173</v>
      </c>
      <c r="EE29" s="18" t="s">
        <v>174</v>
      </c>
      <c r="EF29" s="18" t="s">
        <v>175</v>
      </c>
      <c r="EG29" s="18" t="s">
        <v>176</v>
      </c>
      <c r="EH29" s="18" t="s">
        <v>177</v>
      </c>
      <c r="EI29" s="18" t="s">
        <v>178</v>
      </c>
      <c r="EJ29" s="18" t="s">
        <v>179</v>
      </c>
      <c r="EK29" s="18" t="s">
        <v>180</v>
      </c>
      <c r="EL29" s="18" t="s">
        <v>181</v>
      </c>
      <c r="EM29" s="18" t="s">
        <v>182</v>
      </c>
      <c r="EN29" s="18" t="s">
        <v>183</v>
      </c>
      <c r="EO29" s="18" t="s">
        <v>184</v>
      </c>
      <c r="EP29" s="18" t="s">
        <v>185</v>
      </c>
      <c r="EQ29" s="18" t="s">
        <v>186</v>
      </c>
      <c r="ER29" s="18" t="s">
        <v>187</v>
      </c>
      <c r="ES29" t="s">
        <v>437</v>
      </c>
    </row>
    <row r="30" spans="1:165" x14ac:dyDescent="0.15">
      <c r="A30" s="25" t="str">
        <f ca="1">ES30</f>
        <v>('KGJPN','1408000','CD2016031500020',0,'O','CDDR','DOMES',' ','DOMES',216000,'2016-03-31','2016-03-31','2016-04-02','2016-09-30','AAA','AAA','AAA',' ',null,0,'2016031500020',0,'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B30" s="15" t="str">
        <f>$C$1</f>
        <v>KGJPN</v>
      </c>
      <c r="C30" s="15" t="str">
        <f>$C$2</f>
        <v>1408000</v>
      </c>
      <c r="D30" s="24" t="str">
        <f ca="1">$C$3</f>
        <v>CD2016031500020</v>
      </c>
      <c r="E30" s="21">
        <v>0</v>
      </c>
      <c r="F30" s="20" t="s">
        <v>352</v>
      </c>
      <c r="G30" s="20" t="s">
        <v>189</v>
      </c>
      <c r="H30" s="20" t="s">
        <v>350</v>
      </c>
      <c r="I30" s="20" t="s">
        <v>43</v>
      </c>
      <c r="J30" s="20" t="s">
        <v>350</v>
      </c>
      <c r="K30" s="23">
        <f>$C$4</f>
        <v>216000</v>
      </c>
      <c r="L30" s="22">
        <v>42460</v>
      </c>
      <c r="M30" s="22">
        <v>42460</v>
      </c>
      <c r="N30" s="22">
        <v>42462</v>
      </c>
      <c r="O30" s="22">
        <v>42643</v>
      </c>
      <c r="P30" s="20" t="s">
        <v>190</v>
      </c>
      <c r="Q30" s="20" t="s">
        <v>190</v>
      </c>
      <c r="R30" s="20" t="s">
        <v>190</v>
      </c>
      <c r="S30" s="20" t="s">
        <v>43</v>
      </c>
      <c r="T30" s="21"/>
      <c r="U30" s="21">
        <v>0</v>
      </c>
      <c r="V30" s="39" t="str">
        <f ca="1">RIGHT($C3,13)</f>
        <v>2016031500020</v>
      </c>
      <c r="W30" s="21">
        <v>0</v>
      </c>
      <c r="X30" s="20" t="s">
        <v>43</v>
      </c>
      <c r="Y30" s="21">
        <v>0</v>
      </c>
      <c r="Z30" s="20" t="s">
        <v>43</v>
      </c>
      <c r="AA30" s="21">
        <v>0</v>
      </c>
      <c r="AB30" s="21">
        <v>0</v>
      </c>
      <c r="AC30" s="21"/>
      <c r="AD30" s="21"/>
      <c r="AE30" s="20" t="s">
        <v>191</v>
      </c>
      <c r="AF30" s="21">
        <v>0</v>
      </c>
      <c r="AG30" s="21">
        <v>0</v>
      </c>
      <c r="AH30" s="20" t="s">
        <v>65</v>
      </c>
      <c r="AI30" s="20" t="s">
        <v>43</v>
      </c>
      <c r="AJ30" s="20" t="s">
        <v>192</v>
      </c>
      <c r="AK30" s="20" t="s">
        <v>65</v>
      </c>
      <c r="AL30" s="21"/>
      <c r="AM30" s="21">
        <v>0</v>
      </c>
      <c r="AN30" s="21"/>
      <c r="AO30" s="21"/>
      <c r="AP30" s="21">
        <v>0</v>
      </c>
      <c r="AQ30" s="21"/>
      <c r="AR30" s="21">
        <v>0</v>
      </c>
      <c r="AS30" s="21"/>
      <c r="AT30" s="21">
        <v>0</v>
      </c>
      <c r="AU30" s="20" t="s">
        <v>65</v>
      </c>
      <c r="AV30" s="21">
        <v>0</v>
      </c>
      <c r="AW30" s="20" t="s">
        <v>65</v>
      </c>
      <c r="AX30" s="20" t="s">
        <v>43</v>
      </c>
      <c r="AY30" s="21"/>
      <c r="AZ30" s="21">
        <v>1</v>
      </c>
      <c r="BA30" s="20" t="s">
        <v>43</v>
      </c>
      <c r="BB30" s="20" t="s">
        <v>43</v>
      </c>
      <c r="BC30" s="20" t="s">
        <v>43</v>
      </c>
      <c r="BD30" s="20" t="s">
        <v>0</v>
      </c>
      <c r="BE30" s="20" t="s">
        <v>193</v>
      </c>
      <c r="BF30" s="20" t="s">
        <v>194</v>
      </c>
      <c r="BG30" s="21">
        <v>1</v>
      </c>
      <c r="BH30" s="21">
        <v>1</v>
      </c>
      <c r="BI30" s="23">
        <f>$C$4</f>
        <v>216000</v>
      </c>
      <c r="BJ30" s="23">
        <f>$C$4</f>
        <v>216000</v>
      </c>
      <c r="BK30" s="20" t="s">
        <v>193</v>
      </c>
      <c r="BL30" s="20" t="s">
        <v>195</v>
      </c>
      <c r="BM30" s="20" t="s">
        <v>196</v>
      </c>
      <c r="BN30" s="20" t="s">
        <v>65</v>
      </c>
      <c r="BO30" s="20" t="s">
        <v>197</v>
      </c>
      <c r="BP30" s="20" t="s">
        <v>43</v>
      </c>
      <c r="BQ30" s="20" t="s">
        <v>197</v>
      </c>
      <c r="BR30" s="20" t="s">
        <v>197</v>
      </c>
      <c r="BS30" s="20" t="s">
        <v>43</v>
      </c>
      <c r="BT30" s="20" t="s">
        <v>65</v>
      </c>
      <c r="BU30" s="20" t="str">
        <f>$C$1</f>
        <v>KGJPN</v>
      </c>
      <c r="BV30" s="20" t="s">
        <v>65</v>
      </c>
      <c r="BW30" s="20" t="s">
        <v>43</v>
      </c>
      <c r="BX30" s="20" t="s">
        <v>43</v>
      </c>
      <c r="BY30" s="20" t="s">
        <v>65</v>
      </c>
      <c r="BZ30" s="20" t="s">
        <v>43</v>
      </c>
      <c r="CA30" s="20" t="s">
        <v>43</v>
      </c>
      <c r="CB30" s="20" t="s">
        <v>43</v>
      </c>
      <c r="CC30" s="20" t="s">
        <v>43</v>
      </c>
      <c r="CD30" s="21">
        <v>0</v>
      </c>
      <c r="CE30" s="20" t="s">
        <v>43</v>
      </c>
      <c r="CF30" s="20" t="s">
        <v>43</v>
      </c>
      <c r="CG30" s="20" t="s">
        <v>43</v>
      </c>
      <c r="CH30" s="20" t="s">
        <v>43</v>
      </c>
      <c r="CI30" s="20" t="s">
        <v>43</v>
      </c>
      <c r="CJ30" s="20" t="s">
        <v>198</v>
      </c>
      <c r="CK30" s="20" t="s">
        <v>43</v>
      </c>
      <c r="CL30" s="20" t="s">
        <v>43</v>
      </c>
      <c r="CM30" s="20" t="s">
        <v>43</v>
      </c>
      <c r="CN30" s="20" t="s">
        <v>43</v>
      </c>
      <c r="CO30" s="20" t="s">
        <v>193</v>
      </c>
      <c r="CP30" s="20" t="s">
        <v>43</v>
      </c>
      <c r="CQ30" s="20" t="s">
        <v>43</v>
      </c>
      <c r="CR30" s="20" t="str">
        <f>$C$1</f>
        <v>KGJPN</v>
      </c>
      <c r="CS30" s="20" t="s">
        <v>199</v>
      </c>
      <c r="CT30" s="20" t="s">
        <v>200</v>
      </c>
      <c r="CU30" s="20" t="s">
        <v>43</v>
      </c>
      <c r="CV30" s="20" t="s">
        <v>43</v>
      </c>
      <c r="CW30" s="20" t="s">
        <v>43</v>
      </c>
      <c r="CX30" s="20" t="s">
        <v>43</v>
      </c>
      <c r="CY30" s="20" t="s">
        <v>43</v>
      </c>
      <c r="CZ30" s="20" t="s">
        <v>43</v>
      </c>
      <c r="DA30" s="21">
        <v>0</v>
      </c>
      <c r="DB30" s="23">
        <f>$C$4</f>
        <v>216000</v>
      </c>
      <c r="DC30" s="21">
        <v>0</v>
      </c>
      <c r="DD30" s="21">
        <v>1</v>
      </c>
      <c r="DE30" s="21">
        <v>0</v>
      </c>
      <c r="DF30" s="21">
        <v>0</v>
      </c>
      <c r="DG30" s="21">
        <v>0</v>
      </c>
      <c r="DH30" s="21">
        <v>0</v>
      </c>
      <c r="DI30" s="21">
        <v>0</v>
      </c>
      <c r="DJ30" s="22">
        <v>42460</v>
      </c>
      <c r="DK30" s="21"/>
      <c r="DL30" s="22">
        <v>42643</v>
      </c>
      <c r="DM30" s="21"/>
      <c r="DN30" s="20" t="s">
        <v>43</v>
      </c>
      <c r="DO30" s="15" t="str">
        <f>$C$7</f>
        <v>KJ0245</v>
      </c>
      <c r="DP30" s="20" t="s">
        <v>43</v>
      </c>
      <c r="DQ30" s="20" t="s">
        <v>43</v>
      </c>
      <c r="DR30" s="20" t="s">
        <v>43</v>
      </c>
      <c r="DS30" s="20" t="s">
        <v>354</v>
      </c>
      <c r="DT30" s="20" t="s">
        <v>355</v>
      </c>
      <c r="DU30" s="20" t="s">
        <v>201</v>
      </c>
      <c r="DV30" s="20" t="s">
        <v>43</v>
      </c>
      <c r="DW30" s="20" t="s">
        <v>43</v>
      </c>
      <c r="DX30" s="23">
        <f>$C$4</f>
        <v>216000</v>
      </c>
      <c r="DY30" s="22">
        <v>42460</v>
      </c>
      <c r="DZ30" s="21">
        <v>0</v>
      </c>
      <c r="EA30" s="20" t="s">
        <v>43</v>
      </c>
      <c r="EB30" s="20" t="s">
        <v>43</v>
      </c>
      <c r="EC30" s="20" t="s">
        <v>43</v>
      </c>
      <c r="ED30" s="20" t="s">
        <v>43</v>
      </c>
      <c r="EE30" s="20" t="s">
        <v>43</v>
      </c>
      <c r="EF30" s="20" t="s">
        <v>0</v>
      </c>
      <c r="EG30" s="20" t="s">
        <v>43</v>
      </c>
      <c r="EH30" s="20" t="s">
        <v>43</v>
      </c>
      <c r="EI30" s="20" t="s">
        <v>43</v>
      </c>
      <c r="EJ30" s="20" t="s">
        <v>43</v>
      </c>
      <c r="EK30" s="20" t="s">
        <v>43</v>
      </c>
      <c r="EL30" s="20" t="s">
        <v>43</v>
      </c>
      <c r="EM30" s="20" t="s">
        <v>0</v>
      </c>
      <c r="EN30" s="20" t="s">
        <v>43</v>
      </c>
      <c r="EO30" s="20" t="s">
        <v>43</v>
      </c>
      <c r="EP30" s="20" t="s">
        <v>356</v>
      </c>
      <c r="EQ30" s="20" t="s">
        <v>43</v>
      </c>
      <c r="ER30" s="20" t="s">
        <v>357</v>
      </c>
      <c r="ES30" t="str">
        <f ca="1">ET30&amp;EU30&amp;EV30&amp;EW30&amp;EX30&amp;EY30&amp;EZ30&amp;FA30&amp;FB30&amp;FC30&amp;FD30&amp;FE30&amp;FF30&amp;FG30&amp;FH30&amp;FI30</f>
        <v>('KGJPN','1408000','CD2016031500020',0,'O','CDDR','DOMES',' ','DOMES',216000,'2016-03-31','2016-03-31','2016-04-02','2016-09-30','AAA','AAA','AAA',' ',null,0,'2016031500020',0,'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ET30" t="str">
        <f ca="1">""&amp;"('"&amp;B30&amp;"'"&amp;",'"&amp;C30&amp;"'"&amp;",'"&amp;D30&amp;"'"&amp;","&amp;E30&amp;",'"&amp;F30&amp;"'"&amp;",'"&amp;G30&amp;"'"&amp;",'"&amp;H30&amp;"'"&amp;",'"&amp;I30&amp;"'"&amp;",'"&amp;J30&amp;"'"&amp;","&amp;K30&amp;","&amp;IF(L30=0,"null",TEXT(L30,"'yyyy-mm-dd'"))&amp;","&amp;IF(M30=0,"null",TEXT(M30,"'yyyy-mm-dd'"))&amp;","&amp;IF(N30=0,"null",TEXT(N30,"'yyyy-mm-dd'"))&amp;","&amp;IF(O30=0,"null",TEXT(O30,"'yyyy-mm-dd'"))&amp;",'"&amp;P30&amp;"'"</f>
        <v>('KGJPN','1408000','CD2016031500020',0,'O','CDDR','DOMES',' ','DOMES',216000,'2016-03-31','2016-03-31','2016-04-02','2016-09-30','AAA'</v>
      </c>
      <c r="EU30" t="str">
        <f ca="1">""&amp;",'"&amp;Q30&amp;"'"&amp;",'"&amp;R30&amp;"'"&amp;",'"&amp;S30&amp;"'"&amp;","&amp;IF(T30=0,"null",TEXT(T30,"'yyyy-mm-dd'"))&amp;","&amp;U30&amp;",'"&amp;V30&amp;"'"&amp;","&amp;W30&amp;",'"&amp;X30&amp;"'"&amp;","&amp;Y30&amp;",'"&amp;Z30&amp;"'"&amp;","&amp;AA30&amp;","&amp;AB30&amp;","&amp;IF(AC30=0,"null",TEXT(AC30,"'yyyy-mm-dd'"))&amp;","&amp;IF(AD30=0,"null",TEXT(AD30,"'yyyy-mm-dd'"))&amp;",'"&amp;AE30&amp;"'"&amp;","&amp;AF30</f>
        <v>,'AAA','AAA',' ',null,0,'2016031500020',0,' ',0,' ',0,0,null,null,'0',0</v>
      </c>
      <c r="EV30" t="str">
        <f>""&amp;","&amp;AG30&amp;",'"&amp;AH30&amp;"'"&amp;",'"&amp;AI30&amp;"'"&amp;",'"&amp;AJ30&amp;"'"&amp;",'"&amp;AK30&amp;"'"&amp;","&amp;IF(AL30=0,"null",TEXT(AL30,"'yyyy-mm-dd'"))&amp;","&amp;AM30&amp;","&amp;IF(AN30=0,"null",TEXT(AN30,"'yyyy-mm-dd'"))&amp;","&amp;IF(AO30=0,"null",TEXT(AO30,"'yyyy-mm-dd'"))&amp;","&amp;AP30&amp;","&amp;IF(AQ30=0,"null",TEXT(AQ30,"'yyyy-mm-dd'"))&amp;","&amp;AR30&amp;","&amp;IF(AS30=0,"null",TEXT(AS30,"'yyyy-mm-dd'"))&amp;","&amp;AT30&amp;",'"&amp;AU30&amp;"'"&amp;","&amp;AV30</f>
        <v>,0,'N',' ','ARMDS','N',null,0,null,null,0,null,0,null,0,'N',0</v>
      </c>
      <c r="EW30" t="str">
        <f>""&amp;",'"&amp;AW30&amp;"'"&amp;",'"&amp;AX30&amp;"'"&amp;","&amp;IF(AY30=0,"null",TEXT(AY30,"'yyyy-mm-dd'"))&amp;","&amp;AZ30&amp;",'"&amp;BA30&amp;"'"&amp;",'"&amp;BB30&amp;"'"&amp;",'"&amp;BC30&amp;"'"&amp;",'"&amp;BD30&amp;"'"&amp;",'"&amp;BE30&amp;"'"&amp;",'"&amp;BF30&amp;"'"&amp;","&amp;BG30&amp;","&amp;BH30&amp;","&amp;BI30&amp;","&amp;BJ30&amp;",'"&amp;BK30&amp;"'"&amp;",'"&amp;BL30&amp;"'"</f>
        <v>,'N',' ',null,1,' ',' ',' ','Y','JPY','APTTM',1,1,216000,216000,'JPY','IT-01'</v>
      </c>
      <c r="EX30" t="str">
        <f>""&amp;",'"&amp;BM30&amp;"'"&amp;",'"&amp;BN30&amp;"'"&amp;",'"&amp;BO30&amp;"'"&amp;",'"&amp;BP30&amp;"'"&amp;",'"&amp;BQ30&amp;"'"&amp;",'"&amp;BR30&amp;"'"&amp;",'"&amp;BS30&amp;"'"&amp;",'"&amp;BT30&amp;"'"&amp;",'"&amp;BU30&amp;"'"&amp;",'"&amp;BV30&amp;"'"&amp;",'"&amp;BW30&amp;"'"&amp;",'"&amp;BX30&amp;"'"&amp;",'"&amp;BY30&amp;"'"&amp;",'"&amp;BZ30&amp;"'"&amp;",'"&amp;CA30&amp;"'"&amp;",'"&amp;CB30&amp;"'"</f>
        <v>,'I','N','JPN',' ','JPN','JPN',' ','N','KGJPN','N',' ',' ','N',' ',' ',' '</v>
      </c>
      <c r="EY30" t="str">
        <f>""&amp;",'"&amp;CC30&amp;"'"&amp;","&amp;CD30&amp;",'"&amp;CE30&amp;"'"&amp;",'"&amp;CF30&amp;"'"&amp;",'"&amp;CG30&amp;"'"&amp;",'"&amp;CH30&amp;"'"&amp;",'"&amp;CI30&amp;"'"&amp;",'"&amp;CJ30&amp;"'"&amp;",'"&amp;CK30&amp;"'"&amp;",'"&amp;CL30&amp;"'"&amp;",'"&amp;CM30&amp;"'"&amp;",'"&amp;CN30&amp;"'"&amp;",'"&amp;CO30&amp;"'"&amp;",'"&amp;CP30&amp;"'"&amp;",'"&amp;CQ30&amp;"'"&amp;",'"&amp;CR30&amp;"'"</f>
        <v>,' ',0,' ',' ',' ',' ',' ','CHK',' ',' ',' ',' ','JPY',' ',' ','KGJPN'</v>
      </c>
      <c r="EZ30" t="str">
        <f>""&amp;",'"&amp;CS30&amp;"'"&amp;",'"&amp;CT30&amp;"'"&amp;",'"&amp;CU30&amp;"'"&amp;",'"&amp;CV30&amp;"'"&amp;",'"&amp;CW30&amp;"'"&amp;",'"&amp;CX30&amp;"'"&amp;",'"&amp;CY30&amp;"'"&amp;",'"&amp;CZ30&amp;"'"&amp;","&amp;DA30&amp;","&amp;DB30&amp;","&amp;DC30&amp;","&amp;DD30&amp;","&amp;DE30&amp;","&amp;DF30&amp;","&amp;DG30&amp;","&amp;DH30</f>
        <v>,'0005','0018',' ',' ',' ',' ',' ',' ',0,216000,0,1,0,0,0,0</v>
      </c>
      <c r="FA30" t="str">
        <f>""&amp;","&amp;DI30&amp;","&amp;IF(DJ30=0,"null",TEXT(DJ30,"'yyyy-mm-dd'"))&amp;","&amp;IF(DK30=0,"null",TEXT(DK30,"'yyyy-mm-dd'"))&amp;","&amp;IF(DL30=0,"null",TEXT(DL30,"'yyyy-mm-dd'"))&amp;","&amp;IF(DM30=0,"null",TEXT(DM30,"'yyyy-mm-dd'"))&amp;",'"&amp;DN30&amp;"'"&amp;",'"&amp;DO30&amp;"'"&amp;",'"&amp;DP30&amp;"'"&amp;",'"&amp;DQ30&amp;"'"&amp;",'"&amp;DR30&amp;"'"&amp;",'"&amp;DS30&amp;"'"&amp;",'"&amp;DT30&amp;"'"&amp;",'"&amp;DU30&amp;"'"&amp;",'"&amp;DV30&amp;"'"&amp;",'"&amp;DW30&amp;"'"&amp;","&amp;DX30</f>
        <v>,0,'2016-03-31',null,'2016-09-30',null,' ','KJ0245',' ',' ',' ','44','FB','S',' ',' ',216000</v>
      </c>
      <c r="FB30" t="str">
        <f>""&amp;","&amp;IF(DY30=0,"null",TEXT(DY30,"'yyyy-mm-dd'"))&amp;","&amp;DZ30&amp;",'"&amp;EA30&amp;"'"&amp;",'"&amp;EB30&amp;"'"&amp;",'"&amp;EC30&amp;"'"&amp;",'"&amp;ED30&amp;"'"&amp;",'"&amp;EE30&amp;"'"&amp;",'"&amp;EF30&amp;"'"&amp;",'"&amp;EG30&amp;"'"&amp;",'"&amp;EH30&amp;"'"&amp;",'"&amp;EI30&amp;"'"&amp;",'"&amp;EJ30&amp;"'"&amp;",'"&amp;EK30&amp;"'"&amp;",'"&amp;EL30&amp;"'"&amp;",'"&amp;EM30&amp;"'"&amp;",'"&amp;EN30&amp;"'"</f>
        <v>,'2016-03-31',0,' ',' ',' ',' ',' ','Y',' ',' ',' ',' ',' ',' ','Y',' '</v>
      </c>
      <c r="FC30" t="str">
        <f>""&amp;",'"&amp;EO30&amp;"'"&amp;",'"&amp;EP30&amp;"'"&amp;",'"&amp;EQ30&amp;"'"&amp;",'"&amp;ER30&amp;"'"</f>
        <v>,' ','D1246552',' ','BL1514'</v>
      </c>
      <c r="FD30" t="str">
        <f>""</f>
        <v/>
      </c>
      <c r="FE30" t="str">
        <f>""</f>
        <v/>
      </c>
      <c r="FF30" t="str">
        <f>""</f>
        <v/>
      </c>
      <c r="FG30" t="str">
        <f>""</f>
        <v/>
      </c>
      <c r="FH30" t="str">
        <f>""</f>
        <v/>
      </c>
      <c r="FI30" t="s">
        <v>359</v>
      </c>
    </row>
    <row r="31" spans="1:165" hidden="1" x14ac:dyDescent="0.15">
      <c r="B31" s="3" t="s">
        <v>438</v>
      </c>
      <c r="E31" t="s">
        <v>439</v>
      </c>
    </row>
    <row r="32" spans="1:165" x14ac:dyDescent="0.15">
      <c r="A32" s="25" t="str">
        <f>Z32</f>
        <v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v>
      </c>
      <c r="B32" s="18" t="s">
        <v>35</v>
      </c>
      <c r="C32" s="18" t="s">
        <v>36</v>
      </c>
      <c r="D32" s="18" t="s">
        <v>46</v>
      </c>
      <c r="E32" s="18" t="s">
        <v>47</v>
      </c>
      <c r="F32" s="18" t="s">
        <v>105</v>
      </c>
      <c r="G32" s="18" t="s">
        <v>232</v>
      </c>
      <c r="H32" s="18" t="s">
        <v>233</v>
      </c>
      <c r="I32" s="18" t="s">
        <v>234</v>
      </c>
      <c r="J32" s="18" t="s">
        <v>235</v>
      </c>
      <c r="K32" s="18" t="s">
        <v>236</v>
      </c>
      <c r="L32" s="36" t="s">
        <v>237</v>
      </c>
      <c r="M32" s="18" t="s">
        <v>118</v>
      </c>
      <c r="N32" s="18" t="s">
        <v>238</v>
      </c>
      <c r="O32" s="18" t="s">
        <v>239</v>
      </c>
      <c r="P32" s="18" t="s">
        <v>240</v>
      </c>
      <c r="Q32" s="18" t="s">
        <v>241</v>
      </c>
      <c r="R32" s="18" t="s">
        <v>242</v>
      </c>
      <c r="S32" s="18" t="s">
        <v>243</v>
      </c>
      <c r="T32" s="18" t="s">
        <v>244</v>
      </c>
      <c r="U32" s="18" t="s">
        <v>245</v>
      </c>
      <c r="V32" s="18" t="s">
        <v>246</v>
      </c>
      <c r="W32" s="18" t="s">
        <v>247</v>
      </c>
      <c r="X32" s="18" t="s">
        <v>209</v>
      </c>
      <c r="Y32" s="18" t="s">
        <v>58</v>
      </c>
      <c r="Z32" t="s">
        <v>440</v>
      </c>
    </row>
    <row r="33" spans="1:84" x14ac:dyDescent="0.15">
      <c r="A33" s="25" t="str">
        <f ca="1">Z33</f>
        <v>('KGJPN','1408000','CD2016031500020',0,1,'T','SK','KGT08','VO',8,'2016-03-31','KGJPN',200000,200000,200000,200000,16000,16000,0,0,'N','N','JPY','JPY');</v>
      </c>
      <c r="B33" s="15" t="str">
        <f>$C$1</f>
        <v>KGJPN</v>
      </c>
      <c r="C33" s="15" t="str">
        <f>$C$2</f>
        <v>1408000</v>
      </c>
      <c r="D33" s="24" t="str">
        <f ca="1">$C$3</f>
        <v>CD2016031500020</v>
      </c>
      <c r="E33" s="21">
        <v>0</v>
      </c>
      <c r="F33" s="21">
        <v>1</v>
      </c>
      <c r="G33" s="20" t="s">
        <v>248</v>
      </c>
      <c r="H33" s="20" t="s">
        <v>249</v>
      </c>
      <c r="I33" s="20" t="s">
        <v>250</v>
      </c>
      <c r="J33" s="20" t="s">
        <v>251</v>
      </c>
      <c r="K33" s="21">
        <v>8</v>
      </c>
      <c r="L33" s="22">
        <v>42460</v>
      </c>
      <c r="M33" s="20" t="str">
        <f>$C$1</f>
        <v>KGJPN</v>
      </c>
      <c r="N33" s="23">
        <f>$C$5</f>
        <v>200000</v>
      </c>
      <c r="O33" s="23">
        <f>$C$5</f>
        <v>200000</v>
      </c>
      <c r="P33" s="23">
        <f>$C$5</f>
        <v>200000</v>
      </c>
      <c r="Q33" s="23">
        <f>$C$5</f>
        <v>200000</v>
      </c>
      <c r="R33" s="23">
        <f>$C$6</f>
        <v>16000</v>
      </c>
      <c r="S33" s="23">
        <f>$C$6</f>
        <v>16000</v>
      </c>
      <c r="T33" s="21">
        <v>0</v>
      </c>
      <c r="U33" s="21">
        <v>0</v>
      </c>
      <c r="V33" s="20" t="s">
        <v>65</v>
      </c>
      <c r="W33" s="20" t="s">
        <v>65</v>
      </c>
      <c r="X33" s="20" t="s">
        <v>193</v>
      </c>
      <c r="Y33" s="20" t="s">
        <v>193</v>
      </c>
      <c r="Z33" t="str">
        <f ca="1">AA33&amp;AB33&amp;AC33&amp;AD33&amp;AE33&amp;AF33&amp;AG33&amp;AH33&amp;AI33&amp;AJ33&amp;AK33&amp;AL33&amp;AM33&amp;AN33&amp;AO33&amp;AP33</f>
        <v>('KGJPN','1408000','CD2016031500020',0,1,'T','SK','KGT08','VO',8,'2016-03-31','KGJPN',200000,200000,200000,200000,16000,16000,0,0,'N','N','JPY','JPY');</v>
      </c>
      <c r="AA33" t="str">
        <f ca="1">""&amp;"('"&amp;B33&amp;"'"&amp;",'"&amp;C33&amp;"'"&amp;",'"&amp;D33&amp;"'"&amp;","&amp;E33&amp;","&amp;F33&amp;",'"&amp;G33&amp;"'"&amp;",'"&amp;H33&amp;"'"&amp;",'"&amp;I33&amp;"'"&amp;",'"&amp;J33&amp;"'"&amp;","&amp;K33&amp;","&amp;IF(L33=0,"null",TEXT(L33,"'yyyy-mm-dd'"))&amp;",'"&amp;M33&amp;"'"&amp;","&amp;N33&amp;","&amp;O33&amp;","&amp;P33</f>
        <v>('KGJPN','1408000','CD2016031500020',0,1,'T','SK','KGT08','VO',8,'2016-03-31','KGJPN',200000,200000,200000</v>
      </c>
      <c r="AB33" t="str">
        <f>""&amp;","&amp;Q33&amp;","&amp;R33&amp;","&amp;S33&amp;","&amp;T33&amp;","&amp;U33&amp;",'"&amp;V33&amp;"'"&amp;",'"&amp;W33&amp;"'"&amp;",'"&amp;X33&amp;"'"&amp;",'"&amp;Y33&amp;"'"</f>
        <v>,200000,16000,16000,0,0,'N','N','JPY','JPY'</v>
      </c>
      <c r="AC33" t="str">
        <f>""</f>
        <v/>
      </c>
      <c r="AD33" t="str">
        <f>""</f>
        <v/>
      </c>
      <c r="AE33" t="str">
        <f>""</f>
        <v/>
      </c>
      <c r="AF33" t="str">
        <f>""</f>
        <v/>
      </c>
      <c r="AG33" t="str">
        <f>""</f>
        <v/>
      </c>
      <c r="AH33" t="str">
        <f>""</f>
        <v/>
      </c>
      <c r="AI33" t="str">
        <f>""</f>
        <v/>
      </c>
      <c r="AJ33" t="str">
        <f>""</f>
        <v/>
      </c>
      <c r="AK33" t="str">
        <f>""</f>
        <v/>
      </c>
      <c r="AL33" t="str">
        <f>""</f>
        <v/>
      </c>
      <c r="AM33" t="str">
        <f>""</f>
        <v/>
      </c>
      <c r="AN33" t="str">
        <f>""</f>
        <v/>
      </c>
      <c r="AO33" t="str">
        <f>""</f>
        <v/>
      </c>
      <c r="AP33" t="s">
        <v>359</v>
      </c>
    </row>
    <row r="34" spans="1:84" hidden="1" x14ac:dyDescent="0.15">
      <c r="B34" s="3" t="s">
        <v>296</v>
      </c>
      <c r="E34" t="s">
        <v>441</v>
      </c>
    </row>
    <row r="35" spans="1:84" x14ac:dyDescent="0.15">
      <c r="A35" s="25" t="str">
        <f>BP35</f>
        <v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v>
      </c>
      <c r="B35" s="18" t="s">
        <v>35</v>
      </c>
      <c r="C35" s="18" t="s">
        <v>36</v>
      </c>
      <c r="D35" s="18" t="s">
        <v>46</v>
      </c>
      <c r="E35" s="18" t="s">
        <v>47</v>
      </c>
      <c r="F35" s="18" t="s">
        <v>105</v>
      </c>
      <c r="G35" s="18" t="s">
        <v>252</v>
      </c>
      <c r="H35" s="18" t="s">
        <v>253</v>
      </c>
      <c r="I35" s="18" t="s">
        <v>254</v>
      </c>
      <c r="J35" s="18" t="s">
        <v>255</v>
      </c>
      <c r="K35" s="18" t="s">
        <v>256</v>
      </c>
      <c r="L35" s="18" t="s">
        <v>257</v>
      </c>
      <c r="M35" s="18" t="s">
        <v>258</v>
      </c>
      <c r="N35" s="18" t="s">
        <v>259</v>
      </c>
      <c r="O35" s="18" t="s">
        <v>260</v>
      </c>
      <c r="P35" s="18" t="s">
        <v>261</v>
      </c>
      <c r="Q35" s="18" t="s">
        <v>262</v>
      </c>
      <c r="R35" s="18" t="s">
        <v>263</v>
      </c>
      <c r="S35" s="18" t="s">
        <v>264</v>
      </c>
      <c r="T35" s="18" t="s">
        <v>265</v>
      </c>
      <c r="U35" s="18" t="s">
        <v>266</v>
      </c>
      <c r="V35" s="18" t="s">
        <v>267</v>
      </c>
      <c r="W35" s="18" t="s">
        <v>268</v>
      </c>
      <c r="X35" s="18" t="s">
        <v>269</v>
      </c>
      <c r="Y35" s="18" t="s">
        <v>270</v>
      </c>
      <c r="Z35" s="18" t="s">
        <v>271</v>
      </c>
      <c r="AA35" s="18" t="s">
        <v>177</v>
      </c>
      <c r="AB35" s="18" t="s">
        <v>272</v>
      </c>
      <c r="AC35" s="18" t="s">
        <v>273</v>
      </c>
      <c r="AD35" s="18" t="s">
        <v>274</v>
      </c>
      <c r="AE35" s="18" t="s">
        <v>275</v>
      </c>
      <c r="AF35" s="18" t="s">
        <v>276</v>
      </c>
      <c r="AG35" s="18" t="s">
        <v>277</v>
      </c>
      <c r="AH35" s="36" t="s">
        <v>278</v>
      </c>
      <c r="AI35" s="18" t="s">
        <v>279</v>
      </c>
      <c r="AJ35" s="36" t="s">
        <v>63</v>
      </c>
      <c r="AK35" s="18" t="s">
        <v>280</v>
      </c>
      <c r="AL35" s="36" t="s">
        <v>68</v>
      </c>
      <c r="AM35" s="18" t="s">
        <v>281</v>
      </c>
      <c r="AN35" s="18" t="s">
        <v>282</v>
      </c>
      <c r="AO35" s="18" t="s">
        <v>60</v>
      </c>
      <c r="AP35" s="18" t="s">
        <v>61</v>
      </c>
      <c r="AQ35" s="18" t="s">
        <v>62</v>
      </c>
      <c r="AR35" s="18" t="s">
        <v>58</v>
      </c>
      <c r="AS35" s="18" t="s">
        <v>283</v>
      </c>
      <c r="AT35" s="18" t="s">
        <v>284</v>
      </c>
      <c r="AU35" s="18" t="s">
        <v>285</v>
      </c>
      <c r="AV35" s="18" t="s">
        <v>286</v>
      </c>
      <c r="AW35" s="18" t="s">
        <v>287</v>
      </c>
      <c r="AX35" s="36" t="s">
        <v>288</v>
      </c>
      <c r="AY35" s="18" t="s">
        <v>289</v>
      </c>
      <c r="AZ35" s="18" t="s">
        <v>290</v>
      </c>
      <c r="BA35" s="18" t="s">
        <v>157</v>
      </c>
      <c r="BB35" s="18" t="s">
        <v>158</v>
      </c>
      <c r="BC35" s="18" t="s">
        <v>159</v>
      </c>
      <c r="BD35" s="18" t="s">
        <v>160</v>
      </c>
      <c r="BE35" s="18" t="s">
        <v>161</v>
      </c>
      <c r="BF35" s="18" t="s">
        <v>291</v>
      </c>
      <c r="BG35" s="36" t="s">
        <v>292</v>
      </c>
      <c r="BH35" s="18" t="s">
        <v>232</v>
      </c>
      <c r="BI35" s="18" t="s">
        <v>233</v>
      </c>
      <c r="BJ35" s="18" t="s">
        <v>234</v>
      </c>
      <c r="BK35" s="18" t="s">
        <v>235</v>
      </c>
      <c r="BL35" s="18" t="s">
        <v>52</v>
      </c>
      <c r="BM35" s="18" t="s">
        <v>293</v>
      </c>
      <c r="BN35" s="18" t="s">
        <v>294</v>
      </c>
      <c r="BO35" s="18" t="s">
        <v>295</v>
      </c>
      <c r="BP35" t="s">
        <v>442</v>
      </c>
    </row>
    <row r="36" spans="1:84" x14ac:dyDescent="0.15">
      <c r="A36" s="25" t="str">
        <f ca="1">BP36</f>
        <v>('KGJPN','1408000','CD2016031500020',0,1,'RECORDING','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36" s="15" t="str">
        <f>$C$1</f>
        <v>KGJPN</v>
      </c>
      <c r="C36" s="15" t="str">
        <f>$C$2</f>
        <v>1408000</v>
      </c>
      <c r="D36" s="24" t="str">
        <f ca="1">$C$3</f>
        <v>CD2016031500020</v>
      </c>
      <c r="E36" s="21">
        <v>0</v>
      </c>
      <c r="F36" s="21">
        <v>1</v>
      </c>
      <c r="G36" s="20" t="s">
        <v>298</v>
      </c>
      <c r="H36" s="20" t="s">
        <v>43</v>
      </c>
      <c r="I36" s="21">
        <v>1</v>
      </c>
      <c r="J36" s="20" t="s">
        <v>0</v>
      </c>
      <c r="K36" s="15" t="str">
        <f>$C$1</f>
        <v>KGJPN</v>
      </c>
      <c r="L36" s="20" t="s">
        <v>299</v>
      </c>
      <c r="M36" s="20" t="s">
        <v>43</v>
      </c>
      <c r="N36" s="15" t="str">
        <f>$C$7</f>
        <v>KJ0245</v>
      </c>
      <c r="O36" s="20" t="s">
        <v>43</v>
      </c>
      <c r="P36" s="20" t="s">
        <v>43</v>
      </c>
      <c r="Q36" s="20" t="s">
        <v>43</v>
      </c>
      <c r="R36" s="20" t="s">
        <v>43</v>
      </c>
      <c r="S36" s="20" t="s">
        <v>43</v>
      </c>
      <c r="T36" s="20" t="s">
        <v>43</v>
      </c>
      <c r="U36" s="20" t="s">
        <v>43</v>
      </c>
      <c r="V36" s="20" t="s">
        <v>43</v>
      </c>
      <c r="W36" s="20" t="s">
        <v>43</v>
      </c>
      <c r="X36" s="15" t="str">
        <f>$C$2</f>
        <v>1408000</v>
      </c>
      <c r="Y36" s="20" t="s">
        <v>43</v>
      </c>
      <c r="Z36" s="20" t="s">
        <v>43</v>
      </c>
      <c r="AA36" s="20" t="s">
        <v>43</v>
      </c>
      <c r="AB36" s="20" t="s">
        <v>43</v>
      </c>
      <c r="AC36" s="23">
        <f>$C$4</f>
        <v>216000</v>
      </c>
      <c r="AD36" s="21">
        <v>0</v>
      </c>
      <c r="AE36" s="20" t="s">
        <v>43</v>
      </c>
      <c r="AF36" s="20" t="s">
        <v>43</v>
      </c>
      <c r="AG36" s="20" t="s">
        <v>353</v>
      </c>
      <c r="AH36" s="22">
        <v>42460</v>
      </c>
      <c r="AI36" s="20" t="s">
        <v>231</v>
      </c>
      <c r="AJ36" s="21">
        <v>11309753</v>
      </c>
      <c r="AK36" s="20" t="s">
        <v>300</v>
      </c>
      <c r="AL36" s="22">
        <v>42460</v>
      </c>
      <c r="AM36" s="20" t="s">
        <v>193</v>
      </c>
      <c r="AN36" s="23">
        <f>$C$4</f>
        <v>216000</v>
      </c>
      <c r="AO36" s="20" t="s">
        <v>194</v>
      </c>
      <c r="AP36" s="21">
        <v>1</v>
      </c>
      <c r="AQ36" s="21">
        <v>1</v>
      </c>
      <c r="AR36" s="20" t="s">
        <v>193</v>
      </c>
      <c r="AS36" s="20" t="s">
        <v>301</v>
      </c>
      <c r="AT36" s="21">
        <v>2015</v>
      </c>
      <c r="AU36" s="21">
        <v>12</v>
      </c>
      <c r="AV36" s="20" t="s">
        <v>43</v>
      </c>
      <c r="AW36" s="20" t="s">
        <v>43</v>
      </c>
      <c r="AX36" s="22">
        <v>42460</v>
      </c>
      <c r="AY36" s="20" t="s">
        <v>43</v>
      </c>
      <c r="AZ36" s="20" t="s">
        <v>65</v>
      </c>
      <c r="BA36" s="20" t="s">
        <v>43</v>
      </c>
      <c r="BB36" s="20" t="s">
        <v>43</v>
      </c>
      <c r="BC36" s="20" t="s">
        <v>43</v>
      </c>
      <c r="BD36" s="20" t="s">
        <v>43</v>
      </c>
      <c r="BE36" s="20" t="s">
        <v>43</v>
      </c>
      <c r="BF36" s="21">
        <v>36</v>
      </c>
      <c r="BG36" s="22">
        <v>42460</v>
      </c>
      <c r="BH36" s="20" t="s">
        <v>43</v>
      </c>
      <c r="BI36" s="20" t="s">
        <v>43</v>
      </c>
      <c r="BJ36" s="20" t="s">
        <v>43</v>
      </c>
      <c r="BK36" s="20" t="s">
        <v>43</v>
      </c>
      <c r="BL36" s="20" t="s">
        <v>43</v>
      </c>
      <c r="BM36" s="20" t="s">
        <v>43</v>
      </c>
      <c r="BN36" s="20" t="s">
        <v>43</v>
      </c>
      <c r="BO36" s="20" t="s">
        <v>65</v>
      </c>
      <c r="BP36" t="str">
        <f ca="1">BQ36&amp;BR36&amp;BS36&amp;BT36&amp;BU36&amp;BV36&amp;BW36&amp;BX36&amp;BY36&amp;BZ36&amp;CA36&amp;CB36&amp;CC36&amp;CD36&amp;CE36&amp;CF36</f>
        <v>('KGJPN','1408000','CD2016031500020',0,1,'RECORDING','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Q36" t="str">
        <f ca="1">""&amp;"('"&amp;B36&amp;"'"&amp;",'"&amp;C36&amp;"'"&amp;",'"&amp;D36&amp;"'"&amp;","&amp;E36&amp;","&amp;F36&amp;",'"&amp;G36&amp;"'"&amp;",'"&amp;H36&amp;"'"&amp;","&amp;I36&amp;",'"&amp;J36&amp;"'"&amp;",'"&amp;K36&amp;"'"&amp;",'"&amp;L36&amp;"'"&amp;",'"&amp;M36&amp;"'"&amp;",'"&amp;N36&amp;"'"&amp;",'"&amp;O36&amp;"'"&amp;",'"&amp;P36&amp;"'"</f>
        <v>('KGJPN','1408000','CD2016031500020',0,1,'RECORDING',' ',1,'Y','KGJPN','AC230020',' ','KJ0245',' ',' '</v>
      </c>
      <c r="BR36" t="str">
        <f>""&amp;",'"&amp;Q36&amp;"'"&amp;",'"&amp;R36&amp;"'"&amp;",'"&amp;S36&amp;"'"&amp;",'"&amp;T36&amp;"'"&amp;",'"&amp;U36&amp;"'"&amp;",'"&amp;V36&amp;"'"&amp;",'"&amp;W36&amp;"'"&amp;",'"&amp;X36&amp;"'"&amp;",'"&amp;Y36&amp;"'"&amp;",'"&amp;Z36&amp;"'"&amp;",'"&amp;AA36&amp;"'"&amp;",'"&amp;AB36&amp;"'"&amp;","&amp;AC36&amp;","&amp;AD36&amp;",'"&amp;AE36&amp;"'"&amp;",'"&amp;AF36&amp;"'"</f>
        <v>,' ',' ',' ',' ',' ',' ',' ','1408000',' ',' ',' ',' ',216000,0,' ',' '</v>
      </c>
      <c r="BS36" t="str">
        <f>""&amp;",'"&amp;AG36&amp;"'"&amp;","&amp;IF(AH36=0,"null",TEXT(AH36,"'yyyy-mm-dd'"))&amp;",'"&amp;AI36&amp;"'"&amp;","&amp;AJ36&amp;",'"&amp;AK36&amp;"'"&amp;","&amp;IF(AL36=0,"null",TEXT(AL36,"'yyyy-mm-dd'"))&amp;",'"&amp;AM36&amp;"'"&amp;","&amp;AN36&amp;",'"&amp;AO36&amp;"'"&amp;","&amp;AP36&amp;","&amp;AQ36&amp;",'"&amp;AR36&amp;"'"&amp;",'"&amp;AS36&amp;"'"&amp;","&amp;AT36&amp;","&amp;AU36&amp;",'"&amp;AV36&amp;"'"</f>
        <v>,'AR01115975','2016-03-31','D',11309753,'AR_BILLING','2016-03-31','JPY',216000,'APTTM',1,1,'JPY','A',2015,12,' '</v>
      </c>
      <c r="BT36" t="str">
        <f>""&amp;",'"&amp;AW36&amp;"'"&amp;","&amp;IF(AX36=0,"null",TEXT(AX36,"'yyyy-mm-dd'"))&amp;",'"&amp;AY36&amp;"'"&amp;",'"&amp;AZ36&amp;"'"&amp;",'"&amp;BA36&amp;"'"&amp;",'"&amp;BB36&amp;"'"&amp;",'"&amp;BC36&amp;"'"&amp;",'"&amp;BD36&amp;"'"&amp;",'"&amp;BE36&amp;"'"&amp;","&amp;BF36&amp;","&amp;IF(BG36=0,"null",TEXT(BG36,"'yyyy-mm-dd'"))&amp;",'"&amp;BH36&amp;"'"&amp;",'"&amp;BI36&amp;"'"&amp;",'"&amp;BJ36&amp;"'"&amp;",'"&amp;BK36&amp;"'"&amp;",'"&amp;BL36&amp;"'"</f>
        <v>,' ','2016-03-31',' ','N',' ',' ',' ',' ',' ',36,'2016-03-31',' ',' ',' ',' ',' '</v>
      </c>
      <c r="BU36" t="str">
        <f>""&amp;",'"&amp;BM36&amp;"'"&amp;",'"&amp;BN36&amp;"'"&amp;",'"&amp;BO36&amp;"'"</f>
        <v>,' ',' ','N'</v>
      </c>
      <c r="BV36" t="str">
        <f>""</f>
        <v/>
      </c>
      <c r="BW36" t="str">
        <f>""</f>
        <v/>
      </c>
      <c r="BX36" t="str">
        <f>""</f>
        <v/>
      </c>
      <c r="BY36" t="str">
        <f>""</f>
        <v/>
      </c>
      <c r="BZ36" t="str">
        <f>""</f>
        <v/>
      </c>
      <c r="CA36" t="str">
        <f>""</f>
        <v/>
      </c>
      <c r="CB36" t="str">
        <f>""</f>
        <v/>
      </c>
      <c r="CC36" t="str">
        <f>""</f>
        <v/>
      </c>
      <c r="CD36" t="str">
        <f>""</f>
        <v/>
      </c>
      <c r="CE36" t="str">
        <f>""</f>
        <v/>
      </c>
      <c r="CF36" t="s">
        <v>44</v>
      </c>
    </row>
    <row r="37" spans="1:84" x14ac:dyDescent="0.15">
      <c r="A37" s="25" t="str">
        <f ca="1">BP37</f>
        <v>('KGJPN','1408000','CD2016031500020',0,1,'RECORDING','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37" s="15" t="str">
        <f>$C$1</f>
        <v>KGJPN</v>
      </c>
      <c r="C37" s="15" t="str">
        <f>$C$2</f>
        <v>1408000</v>
      </c>
      <c r="D37" s="24" t="str">
        <f ca="1">$C$3</f>
        <v>CD2016031500020</v>
      </c>
      <c r="E37" s="21">
        <v>0</v>
      </c>
      <c r="F37" s="21">
        <v>1</v>
      </c>
      <c r="G37" s="20" t="s">
        <v>298</v>
      </c>
      <c r="H37" s="20" t="s">
        <v>43</v>
      </c>
      <c r="I37" s="21">
        <v>2</v>
      </c>
      <c r="J37" s="20" t="s">
        <v>0</v>
      </c>
      <c r="K37" s="15" t="str">
        <f>$C$1</f>
        <v>KGJPN</v>
      </c>
      <c r="L37" s="20" t="s">
        <v>351</v>
      </c>
      <c r="M37" s="20" t="s">
        <v>43</v>
      </c>
      <c r="N37" s="15" t="str">
        <f>$C$7</f>
        <v>KJ0245</v>
      </c>
      <c r="O37" s="20" t="s">
        <v>43</v>
      </c>
      <c r="P37" s="20" t="s">
        <v>43</v>
      </c>
      <c r="Q37" s="20" t="s">
        <v>43</v>
      </c>
      <c r="R37" s="20" t="s">
        <v>43</v>
      </c>
      <c r="S37" s="20" t="s">
        <v>43</v>
      </c>
      <c r="T37" s="20" t="s">
        <v>43</v>
      </c>
      <c r="U37" s="20" t="s">
        <v>43</v>
      </c>
      <c r="V37" s="20" t="s">
        <v>43</v>
      </c>
      <c r="W37" s="20" t="s">
        <v>43</v>
      </c>
      <c r="X37" s="15" t="str">
        <f>$C$2</f>
        <v>1408000</v>
      </c>
      <c r="Y37" s="20" t="s">
        <v>43</v>
      </c>
      <c r="Z37" s="20" t="s">
        <v>43</v>
      </c>
      <c r="AA37" s="20" t="s">
        <v>43</v>
      </c>
      <c r="AB37" s="20" t="s">
        <v>43</v>
      </c>
      <c r="AC37" s="23">
        <f>-1*$C$5</f>
        <v>-200000</v>
      </c>
      <c r="AD37" s="21">
        <v>0</v>
      </c>
      <c r="AE37" s="20" t="s">
        <v>43</v>
      </c>
      <c r="AF37" s="20" t="s">
        <v>43</v>
      </c>
      <c r="AG37" s="20" t="s">
        <v>353</v>
      </c>
      <c r="AH37" s="22">
        <v>42460</v>
      </c>
      <c r="AI37" s="20" t="s">
        <v>231</v>
      </c>
      <c r="AJ37" s="21">
        <v>11309753</v>
      </c>
      <c r="AK37" s="20" t="s">
        <v>300</v>
      </c>
      <c r="AL37" s="22">
        <v>42460</v>
      </c>
      <c r="AM37" s="20" t="s">
        <v>193</v>
      </c>
      <c r="AN37" s="23">
        <f>-1*$C$5</f>
        <v>-200000</v>
      </c>
      <c r="AO37" s="20" t="s">
        <v>194</v>
      </c>
      <c r="AP37" s="21">
        <v>1</v>
      </c>
      <c r="AQ37" s="21">
        <v>1</v>
      </c>
      <c r="AR37" s="20" t="s">
        <v>193</v>
      </c>
      <c r="AS37" s="20" t="s">
        <v>302</v>
      </c>
      <c r="AT37" s="21">
        <v>2015</v>
      </c>
      <c r="AU37" s="21">
        <v>12</v>
      </c>
      <c r="AV37" s="20" t="s">
        <v>43</v>
      </c>
      <c r="AW37" s="20" t="s">
        <v>43</v>
      </c>
      <c r="AX37" s="22">
        <v>42460</v>
      </c>
      <c r="AY37" s="20" t="s">
        <v>43</v>
      </c>
      <c r="AZ37" s="20" t="s">
        <v>65</v>
      </c>
      <c r="BA37" s="20" t="s">
        <v>43</v>
      </c>
      <c r="BB37" s="20" t="s">
        <v>43</v>
      </c>
      <c r="BC37" s="20" t="s">
        <v>43</v>
      </c>
      <c r="BD37" s="20" t="s">
        <v>43</v>
      </c>
      <c r="BE37" s="20" t="s">
        <v>43</v>
      </c>
      <c r="BF37" s="21">
        <v>296</v>
      </c>
      <c r="BG37" s="22">
        <v>42460</v>
      </c>
      <c r="BH37" s="20" t="s">
        <v>43</v>
      </c>
      <c r="BI37" s="20" t="s">
        <v>43</v>
      </c>
      <c r="BJ37" s="20" t="s">
        <v>43</v>
      </c>
      <c r="BK37" s="20" t="s">
        <v>43</v>
      </c>
      <c r="BL37" s="20" t="s">
        <v>43</v>
      </c>
      <c r="BM37" s="20" t="s">
        <v>43</v>
      </c>
      <c r="BN37" s="20" t="s">
        <v>43</v>
      </c>
      <c r="BO37" s="20" t="s">
        <v>65</v>
      </c>
      <c r="BP37" t="str">
        <f ca="1">BQ37&amp;BR37&amp;BS37&amp;BT37&amp;BU37&amp;BV37&amp;BW37&amp;BX37&amp;BY37&amp;BZ37&amp;CA37&amp;CB37&amp;CC37&amp;CD37&amp;CE37&amp;CF37</f>
        <v>('KGJPN','1408000','CD2016031500020',0,1,'RECORDING','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Q37" t="str">
        <f ca="1">""&amp;"('"&amp;B37&amp;"'"&amp;",'"&amp;C37&amp;"'"&amp;",'"&amp;D37&amp;"'"&amp;","&amp;E37&amp;","&amp;F37&amp;",'"&amp;G37&amp;"'"&amp;",'"&amp;H37&amp;"'"&amp;","&amp;I37&amp;",'"&amp;J37&amp;"'"&amp;",'"&amp;K37&amp;"'"&amp;",'"&amp;L37&amp;"'"&amp;",'"&amp;M37&amp;"'"&amp;",'"&amp;N37&amp;"'"&amp;",'"&amp;O37&amp;"'"&amp;",'"&amp;P37&amp;"'"</f>
        <v>('KGJPN','1408000','CD2016031500020',0,1,'RECORDING',' ',2,'Y','KGJPN','AC100030',' ','KJ0245',' ',' '</v>
      </c>
      <c r="BR37" t="str">
        <f>""&amp;",'"&amp;Q37&amp;"'"&amp;",'"&amp;R37&amp;"'"&amp;",'"&amp;S37&amp;"'"&amp;",'"&amp;T37&amp;"'"&amp;",'"&amp;U37&amp;"'"&amp;",'"&amp;V37&amp;"'"&amp;",'"&amp;W37&amp;"'"&amp;",'"&amp;X37&amp;"'"&amp;",'"&amp;Y37&amp;"'"&amp;",'"&amp;Z37&amp;"'"&amp;",'"&amp;AA37&amp;"'"&amp;",'"&amp;AB37&amp;"'"&amp;","&amp;AC37&amp;","&amp;AD37&amp;",'"&amp;AE37&amp;"'"&amp;",'"&amp;AF37&amp;"'"</f>
        <v>,' ',' ',' ',' ',' ',' ',' ','1408000',' ',' ',' ',' ',-200000,0,' ',' '</v>
      </c>
      <c r="BS37" t="str">
        <f>""&amp;",'"&amp;AG37&amp;"'"&amp;","&amp;IF(AH37=0,"null",TEXT(AH37,"'yyyy-mm-dd'"))&amp;",'"&amp;AI37&amp;"'"&amp;","&amp;AJ37&amp;",'"&amp;AK37&amp;"'"&amp;","&amp;IF(AL37=0,"null",TEXT(AL37,"'yyyy-mm-dd'"))&amp;",'"&amp;AM37&amp;"'"&amp;","&amp;AN37&amp;",'"&amp;AO37&amp;"'"&amp;","&amp;AP37&amp;","&amp;AQ37&amp;",'"&amp;AR37&amp;"'"&amp;",'"&amp;AS37&amp;"'"&amp;","&amp;AT37&amp;","&amp;AU37&amp;",'"&amp;AV37&amp;"'"</f>
        <v>,'AR01115975','2016-03-31','D',11309753,'AR_BILLING','2016-03-31','JPY',-200000,'APTTM',1,1,'JPY','U',2015,12,' '</v>
      </c>
      <c r="BT37" t="str">
        <f>""&amp;",'"&amp;AW37&amp;"'"&amp;","&amp;IF(AX37=0,"null",TEXT(AX37,"'yyyy-mm-dd'"))&amp;",'"&amp;AY37&amp;"'"&amp;",'"&amp;AZ37&amp;"'"&amp;",'"&amp;BA37&amp;"'"&amp;",'"&amp;BB37&amp;"'"&amp;",'"&amp;BC37&amp;"'"&amp;",'"&amp;BD37&amp;"'"&amp;",'"&amp;BE37&amp;"'"&amp;","&amp;BF37&amp;","&amp;IF(BG37=0,"null",TEXT(BG37,"'yyyy-mm-dd'"))&amp;",'"&amp;BH37&amp;"'"&amp;",'"&amp;BI37&amp;"'"&amp;",'"&amp;BJ37&amp;"'"&amp;",'"&amp;BK37&amp;"'"&amp;",'"&amp;BL37&amp;"'"</f>
        <v>,' ','2016-03-31',' ','N',' ',' ',' ',' ',' ',296,'2016-03-31',' ',' ',' ',' ',' '</v>
      </c>
      <c r="BU37" t="str">
        <f>""&amp;",'"&amp;BM37&amp;"'"&amp;",'"&amp;BN37&amp;"'"&amp;",'"&amp;BO37&amp;"'"</f>
        <v>,' ',' ','N'</v>
      </c>
      <c r="BV37" t="str">
        <f>""</f>
        <v/>
      </c>
      <c r="BW37" t="str">
        <f>""</f>
        <v/>
      </c>
      <c r="BX37" t="str">
        <f>""</f>
        <v/>
      </c>
      <c r="BY37" t="str">
        <f>""</f>
        <v/>
      </c>
      <c r="BZ37" t="str">
        <f>""</f>
        <v/>
      </c>
      <c r="CA37" t="str">
        <f>""</f>
        <v/>
      </c>
      <c r="CB37" t="str">
        <f>""</f>
        <v/>
      </c>
      <c r="CC37" t="str">
        <f>""</f>
        <v/>
      </c>
      <c r="CD37" t="str">
        <f>""</f>
        <v/>
      </c>
      <c r="CE37" t="str">
        <f>""</f>
        <v/>
      </c>
      <c r="CF37" t="s">
        <v>44</v>
      </c>
    </row>
    <row r="38" spans="1:84" x14ac:dyDescent="0.15">
      <c r="A38" s="25" t="str">
        <f ca="1">BP38</f>
        <v>('KGJPN','1408000','CD2016031500020',0,1,'RECORDING','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38" s="15" t="str">
        <f>$C$1</f>
        <v>KGJPN</v>
      </c>
      <c r="C38" s="15" t="str">
        <f>$C$2</f>
        <v>1408000</v>
      </c>
      <c r="D38" s="24" t="str">
        <f ca="1">$C$3</f>
        <v>CD2016031500020</v>
      </c>
      <c r="E38" s="21">
        <v>0</v>
      </c>
      <c r="F38" s="21">
        <v>1</v>
      </c>
      <c r="G38" s="20" t="s">
        <v>298</v>
      </c>
      <c r="H38" s="20" t="s">
        <v>43</v>
      </c>
      <c r="I38" s="21">
        <v>3</v>
      </c>
      <c r="J38" s="20" t="s">
        <v>0</v>
      </c>
      <c r="K38" s="15" t="str">
        <f>$C$1</f>
        <v>KGJPN</v>
      </c>
      <c r="L38" s="20" t="s">
        <v>303</v>
      </c>
      <c r="M38" s="20" t="s">
        <v>43</v>
      </c>
      <c r="N38" s="15" t="str">
        <f>$C$7</f>
        <v>KJ0245</v>
      </c>
      <c r="O38" s="20" t="s">
        <v>43</v>
      </c>
      <c r="P38" s="20" t="s">
        <v>43</v>
      </c>
      <c r="Q38" s="20" t="s">
        <v>43</v>
      </c>
      <c r="R38" s="20" t="s">
        <v>43</v>
      </c>
      <c r="S38" s="20" t="s">
        <v>43</v>
      </c>
      <c r="T38" s="20" t="s">
        <v>43</v>
      </c>
      <c r="U38" s="20" t="s">
        <v>43</v>
      </c>
      <c r="V38" s="20" t="s">
        <v>43</v>
      </c>
      <c r="W38" s="20" t="s">
        <v>43</v>
      </c>
      <c r="X38" s="15" t="str">
        <f>$C$2</f>
        <v>1408000</v>
      </c>
      <c r="Y38" s="20" t="s">
        <v>43</v>
      </c>
      <c r="Z38" s="20" t="s">
        <v>43</v>
      </c>
      <c r="AA38" s="20" t="s">
        <v>43</v>
      </c>
      <c r="AB38" s="20" t="s">
        <v>43</v>
      </c>
      <c r="AC38" s="23">
        <f>-1*$C$6</f>
        <v>-16000</v>
      </c>
      <c r="AD38" s="21">
        <v>0</v>
      </c>
      <c r="AE38" s="20" t="s">
        <v>43</v>
      </c>
      <c r="AF38" s="20" t="s">
        <v>43</v>
      </c>
      <c r="AG38" s="20" t="s">
        <v>353</v>
      </c>
      <c r="AH38" s="22">
        <v>42460</v>
      </c>
      <c r="AI38" s="20" t="s">
        <v>231</v>
      </c>
      <c r="AJ38" s="21">
        <v>11309753</v>
      </c>
      <c r="AK38" s="20" t="s">
        <v>300</v>
      </c>
      <c r="AL38" s="22">
        <v>42460</v>
      </c>
      <c r="AM38" s="20" t="s">
        <v>193</v>
      </c>
      <c r="AN38" s="23">
        <f>-1*$C$6</f>
        <v>-16000</v>
      </c>
      <c r="AO38" s="20" t="s">
        <v>194</v>
      </c>
      <c r="AP38" s="21">
        <v>1</v>
      </c>
      <c r="AQ38" s="21">
        <v>1</v>
      </c>
      <c r="AR38" s="20" t="s">
        <v>193</v>
      </c>
      <c r="AS38" s="20" t="s">
        <v>304</v>
      </c>
      <c r="AT38" s="21">
        <v>2015</v>
      </c>
      <c r="AU38" s="21">
        <v>12</v>
      </c>
      <c r="AV38" s="20" t="s">
        <v>43</v>
      </c>
      <c r="AW38" s="20" t="s">
        <v>43</v>
      </c>
      <c r="AX38" s="22">
        <v>42460</v>
      </c>
      <c r="AY38" s="20" t="s">
        <v>43</v>
      </c>
      <c r="AZ38" s="20" t="s">
        <v>65</v>
      </c>
      <c r="BA38" s="20" t="s">
        <v>43</v>
      </c>
      <c r="BB38" s="20" t="s">
        <v>43</v>
      </c>
      <c r="BC38" s="20" t="s">
        <v>43</v>
      </c>
      <c r="BD38" s="20" t="s">
        <v>43</v>
      </c>
      <c r="BE38" s="20" t="s">
        <v>43</v>
      </c>
      <c r="BF38" s="21">
        <v>297</v>
      </c>
      <c r="BG38" s="22">
        <v>42460</v>
      </c>
      <c r="BH38" s="20" t="s">
        <v>248</v>
      </c>
      <c r="BI38" s="20" t="s">
        <v>249</v>
      </c>
      <c r="BJ38" s="20" t="s">
        <v>250</v>
      </c>
      <c r="BK38" s="20" t="s">
        <v>251</v>
      </c>
      <c r="BL38" s="20" t="s">
        <v>43</v>
      </c>
      <c r="BM38" s="20" t="s">
        <v>43</v>
      </c>
      <c r="BN38" s="20" t="s">
        <v>43</v>
      </c>
      <c r="BO38" s="20" t="s">
        <v>65</v>
      </c>
      <c r="BP38" t="str">
        <f ca="1">BQ38&amp;BR38&amp;BS38&amp;BT38&amp;BU38&amp;BV38&amp;BW38&amp;BX38&amp;BY38&amp;BZ38&amp;CA38&amp;CB38&amp;CC38&amp;CD38&amp;CE38&amp;CF38</f>
        <v>('KGJPN','1408000','CD2016031500020',0,1,'RECORDING','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Q38" t="str">
        <f ca="1">""&amp;"('"&amp;B38&amp;"'"&amp;",'"&amp;C38&amp;"'"&amp;",'"&amp;D38&amp;"'"&amp;","&amp;E38&amp;","&amp;F38&amp;",'"&amp;G38&amp;"'"&amp;",'"&amp;H38&amp;"'"&amp;","&amp;I38&amp;",'"&amp;J38&amp;"'"&amp;",'"&amp;K38&amp;"'"&amp;",'"&amp;L38&amp;"'"&amp;",'"&amp;M38&amp;"'"&amp;",'"&amp;N38&amp;"'"&amp;",'"&amp;O38&amp;"'"&amp;",'"&amp;P38&amp;"'"</f>
        <v>('KGJPN','1408000','CD2016031500020',0,1,'RECORDING',' ',3,'Y','KGJPN','AC700260',' ','KJ0245',' ',' '</v>
      </c>
      <c r="BR38" t="str">
        <f>""&amp;",'"&amp;Q38&amp;"'"&amp;",'"&amp;R38&amp;"'"&amp;",'"&amp;S38&amp;"'"&amp;",'"&amp;T38&amp;"'"&amp;",'"&amp;U38&amp;"'"&amp;",'"&amp;V38&amp;"'"&amp;",'"&amp;W38&amp;"'"&amp;",'"&amp;X38&amp;"'"&amp;",'"&amp;Y38&amp;"'"&amp;",'"&amp;Z38&amp;"'"&amp;",'"&amp;AA38&amp;"'"&amp;",'"&amp;AB38&amp;"'"&amp;","&amp;AC38&amp;","&amp;AD38&amp;",'"&amp;AE38&amp;"'"&amp;",'"&amp;AF38&amp;"'"</f>
        <v>,' ',' ',' ',' ',' ',' ',' ','1408000',' ',' ',' ',' ',-16000,0,' ',' '</v>
      </c>
      <c r="BS38" t="str">
        <f>""&amp;",'"&amp;AG38&amp;"'"&amp;","&amp;IF(AH38=0,"null",TEXT(AH38,"'yyyy-mm-dd'"))&amp;",'"&amp;AI38&amp;"'"&amp;","&amp;AJ38&amp;",'"&amp;AK38&amp;"'"&amp;","&amp;IF(AL38=0,"null",TEXT(AL38,"'yyyy-mm-dd'"))&amp;",'"&amp;AM38&amp;"'"&amp;","&amp;AN38&amp;",'"&amp;AO38&amp;"'"&amp;","&amp;AP38&amp;","&amp;AQ38&amp;",'"&amp;AR38&amp;"'"&amp;",'"&amp;AS38&amp;"'"&amp;","&amp;AT38&amp;","&amp;AU38&amp;",'"&amp;AV38&amp;"'"</f>
        <v>,'AR01115975','2016-03-31','D',11309753,'AR_BILLING','2016-03-31','JPY',-16000,'APTTM',1,1,'JPY','V',2015,12,' '</v>
      </c>
      <c r="BT38" t="str">
        <f>""&amp;",'"&amp;AW38&amp;"'"&amp;","&amp;IF(AX38=0,"null",TEXT(AX38,"'yyyy-mm-dd'"))&amp;",'"&amp;AY38&amp;"'"&amp;",'"&amp;AZ38&amp;"'"&amp;",'"&amp;BA38&amp;"'"&amp;",'"&amp;BB38&amp;"'"&amp;",'"&amp;BC38&amp;"'"&amp;",'"&amp;BD38&amp;"'"&amp;",'"&amp;BE38&amp;"'"&amp;","&amp;BF38&amp;","&amp;IF(BG38=0,"null",TEXT(BG38,"'yyyy-mm-dd'"))&amp;",'"&amp;BH38&amp;"'"&amp;",'"&amp;BI38&amp;"'"&amp;",'"&amp;BJ38&amp;"'"&amp;",'"&amp;BK38&amp;"'"&amp;",'"&amp;BL38&amp;"'"</f>
        <v>,' ','2016-03-31',' ','N',' ',' ',' ',' ',' ',297,'2016-03-31','T','SK','KGT08','VO',' '</v>
      </c>
      <c r="BU38" t="str">
        <f>""&amp;",'"&amp;BM38&amp;"'"&amp;",'"&amp;BN38&amp;"'"&amp;",'"&amp;BO38&amp;"'"</f>
        <v>,' ',' ','N'</v>
      </c>
      <c r="BV38" t="str">
        <f>""</f>
        <v/>
      </c>
      <c r="BW38" t="str">
        <f>""</f>
        <v/>
      </c>
      <c r="BX38" t="str">
        <f>""</f>
        <v/>
      </c>
      <c r="BY38" t="str">
        <f>""</f>
        <v/>
      </c>
      <c r="BZ38" t="str">
        <f>""</f>
        <v/>
      </c>
      <c r="CA38" t="str">
        <f>""</f>
        <v/>
      </c>
      <c r="CB38" t="str">
        <f>""</f>
        <v/>
      </c>
      <c r="CC38" t="str">
        <f>""</f>
        <v/>
      </c>
      <c r="CD38" t="str">
        <f>""</f>
        <v/>
      </c>
      <c r="CE38" t="str">
        <f>""</f>
        <v/>
      </c>
      <c r="CF38" t="s">
        <v>359</v>
      </c>
    </row>
  </sheetData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U49"/>
  <sheetViews>
    <sheetView zoomScale="85" zoomScaleNormal="85" workbookViewId="0">
      <selection activeCell="B17" sqref="B17"/>
    </sheetView>
  </sheetViews>
  <sheetFormatPr defaultRowHeight="13.5" x14ac:dyDescent="0.15"/>
  <cols>
    <col min="1" max="1" width="5.375" style="13" customWidth="1"/>
    <col min="2" max="2" width="12.5" style="13" bestFit="1" customWidth="1"/>
    <col min="3" max="3" width="18.375" style="13" bestFit="1" customWidth="1"/>
    <col min="4" max="4" width="10.75" style="13" customWidth="1"/>
    <col min="5" max="5" width="8.375" style="13" customWidth="1"/>
    <col min="6" max="6" width="4.75" style="13" customWidth="1"/>
    <col min="7" max="7" width="5" style="13" customWidth="1"/>
    <col min="8" max="8" width="6" style="13" bestFit="1" customWidth="1"/>
    <col min="9" max="9" width="24.375" style="13" customWidth="1"/>
    <col min="10" max="10" width="22.125" style="13" customWidth="1"/>
    <col min="11" max="12" width="9" style="13"/>
    <col min="13" max="13" width="11.125" style="13" customWidth="1"/>
    <col min="14" max="16384" width="9" style="13"/>
  </cols>
  <sheetData>
    <row r="2" spans="2:21" x14ac:dyDescent="0.15">
      <c r="B2" s="43" t="s">
        <v>360</v>
      </c>
      <c r="C2" s="43"/>
      <c r="D2" s="43" t="s">
        <v>361</v>
      </c>
      <c r="E2" s="43" t="s">
        <v>362</v>
      </c>
      <c r="G2" s="43" t="s">
        <v>391</v>
      </c>
      <c r="H2" s="43" t="s">
        <v>392</v>
      </c>
      <c r="I2" s="43" t="s">
        <v>363</v>
      </c>
      <c r="J2" s="44"/>
      <c r="K2" s="43" t="s">
        <v>408</v>
      </c>
      <c r="L2" s="43" t="s">
        <v>364</v>
      </c>
      <c r="M2" s="43" t="s">
        <v>365</v>
      </c>
      <c r="N2" s="43" t="s">
        <v>393</v>
      </c>
      <c r="O2" s="43" t="s">
        <v>366</v>
      </c>
      <c r="P2" s="43" t="s">
        <v>409</v>
      </c>
      <c r="Q2" s="43" t="s">
        <v>410</v>
      </c>
      <c r="R2" s="43" t="s">
        <v>411</v>
      </c>
      <c r="S2" s="43" t="s">
        <v>412</v>
      </c>
      <c r="T2" s="43" t="s">
        <v>413</v>
      </c>
      <c r="U2" s="43" t="s">
        <v>362</v>
      </c>
    </row>
    <row r="3" spans="2:21" x14ac:dyDescent="0.15">
      <c r="B3" s="69" t="s">
        <v>394</v>
      </c>
      <c r="C3" s="69">
        <v>1</v>
      </c>
      <c r="D3" s="33" t="s">
        <v>395</v>
      </c>
      <c r="E3" s="34"/>
      <c r="G3" s="72" t="str">
        <f>"DELETE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PS_K_PI_APIM_H_TBL WHERE BUSINESS_UNIT='KGJPN' AND K_PI_AP_ID='';</v>
      </c>
      <c r="H3" s="72" t="str">
        <f>"SELECT *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PS_K_PI_APIM_H_TBL WHERE BUSINESS_UNIT='KGJPN' AND K_PI_AP_ID='' WITH UR;</v>
      </c>
      <c r="I3" s="55" t="s">
        <v>499</v>
      </c>
      <c r="J3" s="55" t="s">
        <v>498</v>
      </c>
      <c r="K3" s="47" t="s">
        <v>368</v>
      </c>
      <c r="L3" s="47" t="s">
        <v>505</v>
      </c>
      <c r="M3" s="47"/>
      <c r="N3" s="47"/>
      <c r="O3" s="47"/>
      <c r="P3" s="47"/>
      <c r="Q3" s="47"/>
      <c r="R3" s="47"/>
      <c r="S3" s="47"/>
      <c r="T3" s="47"/>
      <c r="U3" s="47"/>
    </row>
    <row r="4" spans="2:21" x14ac:dyDescent="0.15">
      <c r="B4" s="69" t="s">
        <v>396</v>
      </c>
      <c r="C4" s="69" t="s">
        <v>397</v>
      </c>
      <c r="D4" s="33" t="s">
        <v>497</v>
      </c>
      <c r="E4" s="34"/>
      <c r="G4" s="72" t="str">
        <f>"DELETE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PS_K_PI_APIM_P_TBL WHERE BUSINESS_UNIT='KGJPN' AND K_PI_AP_ID='';</v>
      </c>
      <c r="H4" s="72" t="str">
        <f>"SELECT *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PS_K_PI_APIM_P_TBL WHERE BUSINESS_UNIT='KGJPN' AND K_PI_AP_ID='' WITH UR;</v>
      </c>
      <c r="I4" s="55" t="s">
        <v>501</v>
      </c>
      <c r="J4" s="55" t="s">
        <v>500</v>
      </c>
      <c r="K4" s="47" t="s">
        <v>368</v>
      </c>
      <c r="L4" s="47" t="s">
        <v>505</v>
      </c>
      <c r="M4" s="47"/>
      <c r="N4" s="47"/>
      <c r="O4" s="47"/>
      <c r="P4" s="47"/>
      <c r="Q4" s="47"/>
      <c r="R4" s="47"/>
      <c r="S4" s="47"/>
      <c r="T4" s="47"/>
      <c r="U4" s="47"/>
    </row>
    <row r="5" spans="2:21" x14ac:dyDescent="0.15">
      <c r="B5" s="69" t="s">
        <v>505</v>
      </c>
      <c r="C5" s="69" t="s">
        <v>504</v>
      </c>
      <c r="D5" s="40"/>
      <c r="E5" s="74" t="s">
        <v>569</v>
      </c>
      <c r="G5" s="72" t="str">
        <f>"DELETE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PS_K_PI_APDM_D_TBL WHERE BUSINESS_UNIT='KGJPN' AND K_PI_AP_ID='';</v>
      </c>
      <c r="H5" s="72" t="str">
        <f>"SELECT *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PS_K_PI_APDM_D_TBL WHERE BUSINESS_UNIT='KGJPN' AND K_PI_AP_ID='' WITH UR;</v>
      </c>
      <c r="I5" s="55" t="s">
        <v>503</v>
      </c>
      <c r="J5" s="55" t="s">
        <v>502</v>
      </c>
      <c r="K5" s="47" t="s">
        <v>368</v>
      </c>
      <c r="L5" s="47" t="s">
        <v>505</v>
      </c>
      <c r="M5" s="47"/>
      <c r="N5" s="47"/>
      <c r="O5" s="47"/>
      <c r="P5" s="47"/>
      <c r="Q5" s="47"/>
      <c r="R5" s="47"/>
      <c r="S5" s="47"/>
      <c r="T5" s="47"/>
      <c r="U5" s="47"/>
    </row>
    <row r="6" spans="2:21" x14ac:dyDescent="0.15">
      <c r="B6" s="70" t="s">
        <v>507</v>
      </c>
      <c r="C6" s="71" t="s">
        <v>506</v>
      </c>
      <c r="D6" s="34"/>
      <c r="E6" s="34"/>
      <c r="G6" s="75" t="str">
        <f>"DELETE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PS_PYMNT_VCHR_XREF WHERE BUSINESS_UNIT='KGJPN' AND VOUCHER_ID='';</v>
      </c>
      <c r="H6" s="75" t="str">
        <f>"SELECT *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PS_PYMNT_VCHR_XREF WHERE BUSINESS_UNIT='KGJPN' AND VOUCHER_ID='' WITH UR;</v>
      </c>
      <c r="I6" s="54" t="s">
        <v>509</v>
      </c>
      <c r="J6" s="54" t="s">
        <v>508</v>
      </c>
      <c r="K6" s="47" t="s">
        <v>368</v>
      </c>
      <c r="L6" s="47" t="s">
        <v>511</v>
      </c>
      <c r="M6" s="47"/>
      <c r="N6" s="47"/>
      <c r="O6" s="47"/>
      <c r="P6" s="47"/>
      <c r="Q6" s="47"/>
      <c r="R6" s="47"/>
      <c r="S6" s="47"/>
      <c r="T6" s="47"/>
      <c r="U6" s="47"/>
    </row>
    <row r="7" spans="2:21" x14ac:dyDescent="0.15">
      <c r="B7" s="69" t="s">
        <v>511</v>
      </c>
      <c r="C7" s="69" t="s">
        <v>510</v>
      </c>
      <c r="D7" s="34"/>
      <c r="E7" s="34"/>
      <c r="G7" s="72" t="str">
        <f>"DELETE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PS_K_AP_PMTVCHR_RT WHERE BUSINESS_UNIT='KGJPN' AND VOUCHER_ID='';</v>
      </c>
      <c r="H7" s="72" t="str">
        <f>"SELECT *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PS_K_AP_PMTVCHR_RT WHERE BUSINESS_UNIT='KGJPN' AND VOUCHER_ID='' WITH UR;</v>
      </c>
      <c r="I7" s="54" t="s">
        <v>513</v>
      </c>
      <c r="J7" s="54" t="s">
        <v>512</v>
      </c>
      <c r="K7" s="47" t="s">
        <v>368</v>
      </c>
      <c r="L7" s="47" t="s">
        <v>511</v>
      </c>
      <c r="M7" s="47"/>
      <c r="N7" s="47"/>
      <c r="O7" s="47"/>
      <c r="P7" s="47"/>
      <c r="Q7" s="47"/>
      <c r="R7" s="47"/>
      <c r="S7" s="47"/>
      <c r="T7" s="47"/>
      <c r="U7" s="47"/>
    </row>
    <row r="8" spans="2:21" x14ac:dyDescent="0.15">
      <c r="B8" s="70" t="s">
        <v>524</v>
      </c>
      <c r="C8" s="70" t="s">
        <v>523</v>
      </c>
      <c r="D8" s="34"/>
      <c r="E8" s="34"/>
      <c r="G8" s="72" t="str">
        <f>"DELETE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PS_VOUCHER WHERE BUSINESS_UNIT='KGJPN' AND VOUCHER_ID='';</v>
      </c>
      <c r="H8" s="72" t="str">
        <f>"SELECT *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PS_VOUCHER WHERE BUSINESS_UNIT='KGJPN' AND VOUCHER_ID='' WITH UR;</v>
      </c>
      <c r="I8" s="54" t="s">
        <v>515</v>
      </c>
      <c r="J8" s="54" t="s">
        <v>514</v>
      </c>
      <c r="K8" s="47" t="s">
        <v>368</v>
      </c>
      <c r="L8" s="47" t="s">
        <v>511</v>
      </c>
      <c r="M8" s="47"/>
      <c r="N8" s="47"/>
      <c r="O8" s="47"/>
      <c r="P8" s="47"/>
      <c r="Q8" s="47"/>
      <c r="R8" s="47"/>
      <c r="S8" s="47"/>
      <c r="T8" s="47"/>
      <c r="U8" s="47"/>
    </row>
    <row r="9" spans="2:21" x14ac:dyDescent="0.15">
      <c r="B9" s="69"/>
      <c r="C9" s="69"/>
      <c r="D9" s="34"/>
      <c r="E9" s="34"/>
      <c r="G9" s="72" t="str">
        <f>"DELETE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PS_K_AP_VOUCHER WHERE BUSINESS_UNIT='KGJPN' AND VOUCHER_ID='';</v>
      </c>
      <c r="H9" s="72" t="str">
        <f>"SELECT *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PS_K_AP_VOUCHER WHERE BUSINESS_UNIT='KGJPN' AND VOUCHER_ID='' WITH UR;</v>
      </c>
      <c r="I9" s="54" t="s">
        <v>517</v>
      </c>
      <c r="J9" s="54" t="s">
        <v>516</v>
      </c>
      <c r="K9" s="47" t="s">
        <v>368</v>
      </c>
      <c r="L9" s="47" t="s">
        <v>511</v>
      </c>
      <c r="M9" s="47"/>
      <c r="N9" s="47"/>
      <c r="O9" s="47"/>
      <c r="P9" s="47"/>
      <c r="Q9" s="47"/>
      <c r="R9" s="47"/>
      <c r="S9" s="47"/>
      <c r="T9" s="47"/>
      <c r="U9" s="47"/>
    </row>
    <row r="10" spans="2:21" x14ac:dyDescent="0.15">
      <c r="B10" s="69"/>
      <c r="C10" s="69"/>
      <c r="D10" s="34"/>
      <c r="E10" s="34"/>
      <c r="G10" s="75" t="str">
        <f>"DELETE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PS_VOUCHER_LINE WHERE BUSINESS_UNIT='KGJPN' AND VOUCHER_ID='';</v>
      </c>
      <c r="H10" s="75" t="str">
        <f>"SELECT *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PS_VOUCHER_LINE WHERE BUSINESS_UNIT='KGJPN' AND VOUCHER_ID='' WITH UR;</v>
      </c>
      <c r="I10" s="54" t="s">
        <v>519</v>
      </c>
      <c r="J10" s="54" t="s">
        <v>518</v>
      </c>
      <c r="K10" s="47" t="s">
        <v>368</v>
      </c>
      <c r="L10" s="47" t="s">
        <v>511</v>
      </c>
      <c r="M10" s="47"/>
      <c r="N10" s="47"/>
      <c r="O10" s="47"/>
      <c r="P10" s="47"/>
      <c r="Q10" s="47"/>
      <c r="R10" s="47"/>
      <c r="S10" s="47"/>
      <c r="T10" s="47"/>
      <c r="U10" s="47"/>
    </row>
    <row r="11" spans="2:21" x14ac:dyDescent="0.15">
      <c r="B11" s="69"/>
      <c r="C11" s="69"/>
      <c r="D11" s="34"/>
      <c r="E11" s="34"/>
      <c r="G11" s="75" t="str">
        <f>"DELETE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PS_DISTRIB_LINE WHERE BUSINESS_UNIT='KGJPN' AND VOUCHER_ID='';</v>
      </c>
      <c r="H11" s="75" t="str">
        <f>"SELECT *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PS_DISTRIB_LINE WHERE BUSINESS_UNIT='KGJPN' AND VOUCHER_ID='' WITH UR;</v>
      </c>
      <c r="I11" s="54" t="s">
        <v>521</v>
      </c>
      <c r="J11" s="54" t="s">
        <v>520</v>
      </c>
      <c r="K11" s="47" t="s">
        <v>368</v>
      </c>
      <c r="L11" s="47" t="s">
        <v>511</v>
      </c>
      <c r="M11" s="47"/>
      <c r="N11" s="47"/>
      <c r="O11" s="47"/>
      <c r="P11" s="47"/>
      <c r="Q11" s="47"/>
      <c r="R11" s="47"/>
      <c r="S11" s="47"/>
      <c r="T11" s="47"/>
      <c r="U11" s="47"/>
    </row>
    <row r="12" spans="2:21" x14ac:dyDescent="0.15">
      <c r="B12" s="69"/>
      <c r="C12" s="69"/>
      <c r="D12" s="34"/>
      <c r="E12" s="34"/>
      <c r="G12" s="72" t="str">
        <f>"DELETE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PS_PAYMENT_TBL WHERE VOUCHER_ID='';</v>
      </c>
      <c r="H12" s="72" t="str">
        <f>"SELECT *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PS_PAYMENT_TBL WHERE VOUCHER_ID='' WITH UR;</v>
      </c>
      <c r="I12" s="69" t="s">
        <v>522</v>
      </c>
      <c r="J12" s="69" t="s">
        <v>529</v>
      </c>
      <c r="K12" s="47" t="s">
        <v>511</v>
      </c>
      <c r="L12" s="47"/>
      <c r="M12" s="47"/>
      <c r="N12" s="47"/>
      <c r="O12" s="47"/>
      <c r="P12" s="47"/>
      <c r="Q12" s="47"/>
      <c r="R12" s="47"/>
      <c r="S12" s="47"/>
      <c r="T12" s="47"/>
      <c r="U12" s="47"/>
    </row>
    <row r="13" spans="2:21" x14ac:dyDescent="0.15">
      <c r="B13" s="69"/>
      <c r="C13" s="69"/>
      <c r="D13" s="34"/>
      <c r="E13" s="34"/>
      <c r="G13" s="72" t="str">
        <f>"DELETE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PS_BCH_XREF_EXT WHERE BUSINESS_UNIT='KGJPN' AND VOUCHER_ID='';</v>
      </c>
      <c r="H13" s="72" t="str">
        <f>"SELECT *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PS_BCH_XREF_EXT WHERE BUSINESS_UNIT='KGJPN' AND VOUCHER_ID='' WITH UR;</v>
      </c>
      <c r="I13" s="69" t="s">
        <v>526</v>
      </c>
      <c r="J13" s="69" t="s">
        <v>525</v>
      </c>
      <c r="K13" s="47" t="s">
        <v>368</v>
      </c>
      <c r="L13" s="47" t="s">
        <v>511</v>
      </c>
      <c r="M13" s="47"/>
      <c r="N13" s="47"/>
      <c r="O13" s="47"/>
      <c r="P13" s="47"/>
      <c r="Q13" s="47"/>
      <c r="R13" s="47"/>
      <c r="S13" s="47"/>
      <c r="T13" s="47"/>
      <c r="U13" s="47"/>
    </row>
    <row r="14" spans="2:21" x14ac:dyDescent="0.15">
      <c r="B14" s="69"/>
      <c r="C14" s="69"/>
      <c r="D14" s="34"/>
      <c r="E14" s="34"/>
      <c r="G14" s="72" t="str">
        <f>"DELETE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PS_VCHR_ACCTG_LINE WHERE BUSINESS_UNIT='KGJPN' AND VOUCHER_ID='';</v>
      </c>
      <c r="H14" s="72" t="str">
        <f>"SELECT *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PS_VCHR_ACCTG_LINE WHERE BUSINESS_UNIT='KGJPN' AND VOUCHER_ID='' WITH UR;</v>
      </c>
      <c r="I14" s="69" t="s">
        <v>528</v>
      </c>
      <c r="J14" s="69" t="s">
        <v>527</v>
      </c>
      <c r="K14" s="47" t="s">
        <v>368</v>
      </c>
      <c r="L14" s="47" t="s">
        <v>511</v>
      </c>
      <c r="M14" s="47"/>
      <c r="N14" s="47"/>
      <c r="O14" s="47"/>
      <c r="P14" s="47"/>
      <c r="Q14" s="47"/>
      <c r="R14" s="47"/>
      <c r="S14" s="47"/>
      <c r="T14" s="47"/>
      <c r="U14" s="47"/>
    </row>
    <row r="15" spans="2:21" x14ac:dyDescent="0.15">
      <c r="G15" s="72" t="str">
        <f>"DELETE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PS_K_AP_DNSCHG_TBL WHERE BUSINESS_UNIT='KGJPN' AND VOUCHER_ID='';</v>
      </c>
      <c r="H15" s="72" t="str">
        <f>"SELECT *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PS_K_AP_DNSCHG_TBL WHERE BUSINESS_UNIT='KGJPN' AND VOUCHER_ID='' WITH UR;</v>
      </c>
      <c r="I15" s="69" t="s">
        <v>530</v>
      </c>
      <c r="J15" s="69" t="s">
        <v>531</v>
      </c>
      <c r="K15" s="47" t="s">
        <v>368</v>
      </c>
      <c r="L15" s="47" t="s">
        <v>511</v>
      </c>
      <c r="M15" s="47"/>
      <c r="N15" s="47"/>
      <c r="O15" s="47"/>
      <c r="P15" s="47"/>
      <c r="Q15" s="47"/>
      <c r="R15" s="47"/>
      <c r="S15" s="47"/>
      <c r="T15" s="47"/>
      <c r="U15" s="47"/>
    </row>
    <row r="16" spans="2:21" x14ac:dyDescent="0.15">
      <c r="G16" s="72" t="str">
        <f>"DELETE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PS_K_AP_VACTLN_TBL WHERE BUSINESS_UNIT='KGJPN' AND VOUCHER_ID='';</v>
      </c>
      <c r="H16" s="72" t="str">
        <f>"SELECT *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PS_K_AP_VACTLN_TBL WHERE BUSINESS_UNIT='KGJPN' AND VOUCHER_ID='' WITH UR;</v>
      </c>
      <c r="I16" s="69" t="s">
        <v>533</v>
      </c>
      <c r="J16" s="69" t="s">
        <v>532</v>
      </c>
      <c r="K16" s="47" t="s">
        <v>368</v>
      </c>
      <c r="L16" s="47" t="s">
        <v>511</v>
      </c>
      <c r="M16" s="47"/>
      <c r="N16" s="47"/>
      <c r="O16" s="47"/>
      <c r="P16" s="47"/>
      <c r="Q16" s="47"/>
      <c r="R16" s="47"/>
      <c r="S16" s="47"/>
      <c r="T16" s="47"/>
      <c r="U16" s="47"/>
    </row>
    <row r="17" spans="2:21" x14ac:dyDescent="0.15">
      <c r="B17" s="51" t="str">
        <f>CONCATENATE(B20,B21,B22,B23,B24,B25)</f>
        <v/>
      </c>
      <c r="C17" s="52" t="s">
        <v>493</v>
      </c>
      <c r="G17" s="75" t="str">
        <f>"DELETE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PS_VCHRLN_MISC_CHG WHERE BUSINESS_UNIT='KGJPN' AND VOUCHER_ID='';</v>
      </c>
      <c r="H17" s="75" t="str">
        <f>"SELECT *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PS_VCHRLN_MISC_CHG WHERE BUSINESS_UNIT='KGJPN' AND VOUCHER_ID='' WITH UR;</v>
      </c>
      <c r="I17" s="69" t="s">
        <v>578</v>
      </c>
      <c r="J17" s="69" t="s">
        <v>577</v>
      </c>
      <c r="K17" s="47" t="s">
        <v>368</v>
      </c>
      <c r="L17" s="47" t="s">
        <v>511</v>
      </c>
      <c r="M17" s="47"/>
      <c r="N17" s="47"/>
      <c r="O17" s="47"/>
      <c r="P17" s="47"/>
      <c r="Q17" s="47"/>
      <c r="R17" s="47"/>
      <c r="S17" s="47"/>
      <c r="T17" s="47"/>
      <c r="U17" s="47"/>
    </row>
    <row r="18" spans="2:21" x14ac:dyDescent="0.15">
      <c r="G18" s="75" t="str">
        <f>"DELETE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PS_PYMNT_VCHR_MSG WHERE BUSINESS_UNIT='KGJPN' AND VOUCHER_ID='';</v>
      </c>
      <c r="H18" s="75" t="str">
        <f>"SELECT *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PS_PYMNT_VCHR_MSG WHERE BUSINESS_UNIT='KGJPN' AND VOUCHER_ID='' WITH UR;</v>
      </c>
      <c r="I18" s="69" t="s">
        <v>580</v>
      </c>
      <c r="J18" s="69" t="s">
        <v>579</v>
      </c>
      <c r="K18" s="47" t="s">
        <v>368</v>
      </c>
      <c r="L18" s="47" t="s">
        <v>511</v>
      </c>
      <c r="M18" s="47"/>
      <c r="N18" s="47"/>
      <c r="O18" s="47"/>
      <c r="P18" s="47"/>
      <c r="Q18" s="47"/>
      <c r="R18" s="47"/>
      <c r="S18" s="47"/>
      <c r="T18" s="47"/>
      <c r="U18" s="47"/>
    </row>
    <row r="19" spans="2:21" x14ac:dyDescent="0.15">
      <c r="G19" s="45"/>
      <c r="H19" s="45"/>
      <c r="I19" s="69"/>
      <c r="J19" s="69"/>
      <c r="K19" s="47" t="s">
        <v>368</v>
      </c>
      <c r="L19" s="47"/>
      <c r="M19" s="47"/>
      <c r="N19" s="47"/>
      <c r="O19" s="47"/>
      <c r="P19" s="47"/>
      <c r="Q19" s="47"/>
      <c r="R19" s="47"/>
      <c r="S19" s="47"/>
      <c r="T19" s="47"/>
      <c r="U19" s="47"/>
    </row>
    <row r="20" spans="2:21" x14ac:dyDescent="0.15">
      <c r="B20" s="53"/>
      <c r="C20" s="13" t="s">
        <v>493</v>
      </c>
      <c r="G20" s="45"/>
      <c r="H20" s="45"/>
      <c r="I20" s="69"/>
      <c r="J20" s="69"/>
      <c r="K20" s="47" t="s">
        <v>368</v>
      </c>
      <c r="L20" s="47"/>
      <c r="M20" s="47"/>
      <c r="N20" s="47"/>
      <c r="O20" s="47"/>
      <c r="P20" s="47"/>
      <c r="Q20" s="47"/>
      <c r="R20" s="47"/>
      <c r="S20" s="47"/>
      <c r="T20" s="47"/>
      <c r="U20" s="47"/>
    </row>
    <row r="21" spans="2:21" x14ac:dyDescent="0.15">
      <c r="B21" s="53"/>
      <c r="C21" s="13" t="s">
        <v>493</v>
      </c>
      <c r="G21" s="45"/>
      <c r="H21" s="45"/>
      <c r="I21" s="69"/>
      <c r="J21" s="69"/>
      <c r="K21" s="47" t="s">
        <v>368</v>
      </c>
      <c r="L21" s="47"/>
      <c r="M21" s="47"/>
      <c r="N21" s="47"/>
      <c r="O21" s="47"/>
      <c r="P21" s="47"/>
      <c r="Q21" s="47"/>
      <c r="R21" s="47"/>
      <c r="S21" s="47"/>
      <c r="T21" s="47"/>
      <c r="U21" s="47"/>
    </row>
    <row r="22" spans="2:21" x14ac:dyDescent="0.15">
      <c r="B22" s="67"/>
      <c r="C22" s="13" t="s">
        <v>493</v>
      </c>
      <c r="G22" s="45"/>
      <c r="H22" s="45"/>
      <c r="I22" s="69"/>
      <c r="J22" s="69"/>
      <c r="K22" s="47" t="s">
        <v>368</v>
      </c>
      <c r="L22" s="47"/>
      <c r="M22" s="47"/>
      <c r="N22" s="47"/>
      <c r="O22" s="47"/>
      <c r="P22" s="47"/>
      <c r="Q22" s="47"/>
      <c r="R22" s="47"/>
      <c r="S22" s="47"/>
      <c r="T22" s="47"/>
      <c r="U22" s="47"/>
    </row>
    <row r="23" spans="2:21" x14ac:dyDescent="0.15">
      <c r="B23" s="67"/>
      <c r="C23" s="13" t="s">
        <v>494</v>
      </c>
      <c r="G23" s="45"/>
      <c r="H23" s="45"/>
      <c r="I23" s="69"/>
      <c r="J23" s="69"/>
      <c r="K23" s="47" t="s">
        <v>368</v>
      </c>
      <c r="L23" s="47"/>
      <c r="M23" s="47"/>
      <c r="N23" s="47"/>
      <c r="O23" s="47"/>
      <c r="P23" s="47"/>
      <c r="Q23" s="47"/>
      <c r="R23" s="47"/>
      <c r="S23" s="47"/>
      <c r="T23" s="47"/>
      <c r="U23" s="47"/>
    </row>
    <row r="24" spans="2:21" x14ac:dyDescent="0.15">
      <c r="B24" s="67"/>
      <c r="C24" s="13" t="s">
        <v>494</v>
      </c>
      <c r="G24" s="45"/>
      <c r="H24" s="45"/>
      <c r="I24" s="69"/>
      <c r="J24" s="69"/>
      <c r="K24" s="47" t="s">
        <v>368</v>
      </c>
      <c r="L24" s="47"/>
      <c r="M24" s="47"/>
      <c r="N24" s="47"/>
      <c r="O24" s="47"/>
      <c r="P24" s="47"/>
      <c r="Q24" s="47"/>
      <c r="R24" s="47"/>
      <c r="S24" s="47"/>
      <c r="T24" s="47"/>
      <c r="U24" s="47"/>
    </row>
    <row r="25" spans="2:21" x14ac:dyDescent="0.15">
      <c r="B25" s="53"/>
      <c r="C25" s="13" t="s">
        <v>493</v>
      </c>
      <c r="G25" s="45"/>
      <c r="H25" s="45"/>
      <c r="I25" s="69"/>
      <c r="J25" s="69"/>
      <c r="K25" s="47" t="s">
        <v>368</v>
      </c>
      <c r="L25" s="47"/>
      <c r="M25" s="47"/>
      <c r="N25" s="47"/>
      <c r="O25" s="47"/>
      <c r="P25" s="47"/>
      <c r="Q25" s="47"/>
      <c r="R25" s="47"/>
      <c r="S25" s="47"/>
      <c r="T25" s="47"/>
      <c r="U25" s="47"/>
    </row>
    <row r="26" spans="2:21" x14ac:dyDescent="0.15">
      <c r="G26" s="45"/>
      <c r="H26" s="45"/>
      <c r="I26" s="69"/>
      <c r="J26" s="69"/>
      <c r="K26" s="47" t="s">
        <v>368</v>
      </c>
      <c r="L26" s="47"/>
      <c r="M26" s="47"/>
      <c r="N26" s="47"/>
      <c r="O26" s="47"/>
      <c r="P26" s="47"/>
      <c r="Q26" s="47"/>
      <c r="R26" s="47"/>
      <c r="S26" s="47"/>
      <c r="T26" s="47"/>
      <c r="U26" s="47"/>
    </row>
    <row r="27" spans="2:21" x14ac:dyDescent="0.15">
      <c r="G27" s="45"/>
      <c r="H27" s="45"/>
      <c r="I27" s="69"/>
      <c r="J27" s="69"/>
      <c r="K27" s="47" t="s">
        <v>368</v>
      </c>
      <c r="L27" s="47"/>
      <c r="M27" s="47"/>
      <c r="N27" s="47"/>
      <c r="O27" s="47"/>
      <c r="P27" s="47"/>
      <c r="Q27" s="47"/>
      <c r="R27" s="47"/>
      <c r="S27" s="47"/>
      <c r="T27" s="47"/>
      <c r="U27" s="47"/>
    </row>
    <row r="28" spans="2:21" x14ac:dyDescent="0.15">
      <c r="G28" s="45"/>
      <c r="H28" s="45"/>
      <c r="I28" s="69"/>
      <c r="J28" s="69"/>
      <c r="K28" s="47" t="s">
        <v>368</v>
      </c>
      <c r="L28" s="47"/>
      <c r="M28" s="47"/>
      <c r="N28" s="47"/>
      <c r="O28" s="47"/>
      <c r="P28" s="47"/>
      <c r="Q28" s="47"/>
      <c r="R28" s="47"/>
      <c r="S28" s="47"/>
      <c r="T28" s="47"/>
      <c r="U28" s="47"/>
    </row>
    <row r="29" spans="2:21" x14ac:dyDescent="0.15">
      <c r="G29" s="45"/>
      <c r="H29" s="45"/>
      <c r="I29" s="69"/>
      <c r="J29" s="69"/>
      <c r="K29" s="47" t="s">
        <v>368</v>
      </c>
      <c r="L29" s="47"/>
      <c r="M29" s="47"/>
      <c r="N29" s="47"/>
      <c r="O29" s="47"/>
      <c r="P29" s="47"/>
      <c r="Q29" s="47"/>
      <c r="R29" s="47"/>
      <c r="S29" s="47"/>
      <c r="T29" s="47"/>
      <c r="U29" s="47"/>
    </row>
    <row r="30" spans="2:21" x14ac:dyDescent="0.15">
      <c r="G30" s="45"/>
      <c r="H30" s="45"/>
      <c r="I30" s="69"/>
      <c r="J30" s="69"/>
      <c r="K30" s="47" t="s">
        <v>368</v>
      </c>
      <c r="L30" s="47"/>
      <c r="M30" s="47"/>
      <c r="N30" s="47"/>
      <c r="O30" s="47"/>
      <c r="P30" s="47"/>
      <c r="Q30" s="47"/>
      <c r="R30" s="47"/>
      <c r="S30" s="47"/>
      <c r="T30" s="47"/>
      <c r="U30" s="47"/>
    </row>
    <row r="32" spans="2:21" x14ac:dyDescent="0.15">
      <c r="B32" s="56"/>
      <c r="C32" s="57"/>
      <c r="D32" s="57"/>
      <c r="E32" s="58"/>
      <c r="G32" s="76"/>
      <c r="H32" s="76"/>
      <c r="I32" s="13" t="s">
        <v>581</v>
      </c>
    </row>
    <row r="33" spans="1:9" x14ac:dyDescent="0.15">
      <c r="B33" s="59"/>
      <c r="C33" s="60"/>
      <c r="D33" s="60"/>
      <c r="E33" s="61"/>
      <c r="G33" s="77"/>
      <c r="H33" s="77"/>
      <c r="I33" s="13" t="s">
        <v>583</v>
      </c>
    </row>
    <row r="34" spans="1:9" x14ac:dyDescent="0.15">
      <c r="B34" s="59"/>
      <c r="C34" s="60"/>
      <c r="D34" s="60"/>
      <c r="E34" s="61"/>
      <c r="G34" s="78"/>
      <c r="H34" s="78"/>
      <c r="I34" s="13" t="s">
        <v>582</v>
      </c>
    </row>
    <row r="35" spans="1:9" x14ac:dyDescent="0.15">
      <c r="B35" s="59"/>
      <c r="C35" s="60"/>
      <c r="D35" s="60"/>
      <c r="E35" s="61"/>
    </row>
    <row r="36" spans="1:9" x14ac:dyDescent="0.15">
      <c r="B36" s="59"/>
      <c r="C36" s="60"/>
      <c r="D36" s="60"/>
      <c r="E36" s="61"/>
    </row>
    <row r="37" spans="1:9" x14ac:dyDescent="0.15">
      <c r="B37" s="59"/>
      <c r="C37" s="60"/>
      <c r="D37" s="60"/>
      <c r="E37" s="61"/>
    </row>
    <row r="38" spans="1:9" x14ac:dyDescent="0.15">
      <c r="B38" s="59"/>
      <c r="C38" s="60"/>
      <c r="D38" s="60"/>
      <c r="E38" s="61"/>
    </row>
    <row r="39" spans="1:9" x14ac:dyDescent="0.15">
      <c r="B39" s="59"/>
      <c r="C39" s="60"/>
      <c r="D39" s="60"/>
      <c r="E39" s="61"/>
    </row>
    <row r="40" spans="1:9" x14ac:dyDescent="0.15">
      <c r="B40" s="59"/>
      <c r="C40" s="60"/>
      <c r="D40" s="60"/>
      <c r="E40" s="61"/>
    </row>
    <row r="41" spans="1:9" x14ac:dyDescent="0.15">
      <c r="B41" s="59"/>
      <c r="C41" s="60"/>
      <c r="D41" s="60"/>
      <c r="E41" s="61"/>
    </row>
    <row r="42" spans="1:9" x14ac:dyDescent="0.15">
      <c r="B42" s="59"/>
      <c r="C42" s="60"/>
      <c r="D42" s="60"/>
      <c r="E42" s="61"/>
    </row>
    <row r="43" spans="1:9" x14ac:dyDescent="0.15">
      <c r="B43" s="59"/>
      <c r="C43" s="60"/>
      <c r="D43" s="60"/>
      <c r="E43" s="61"/>
    </row>
    <row r="44" spans="1:9" x14ac:dyDescent="0.15">
      <c r="B44" s="59"/>
      <c r="C44" s="60"/>
      <c r="D44" s="60"/>
      <c r="E44" s="61"/>
    </row>
    <row r="45" spans="1:9" x14ac:dyDescent="0.15">
      <c r="A45" s="68"/>
      <c r="B45" s="65"/>
      <c r="C45" s="60"/>
      <c r="D45" s="60"/>
      <c r="E45" s="61"/>
    </row>
    <row r="46" spans="1:9" x14ac:dyDescent="0.15">
      <c r="A46" s="68"/>
      <c r="B46" s="65"/>
      <c r="C46" s="60"/>
      <c r="D46" s="60"/>
      <c r="E46" s="61"/>
    </row>
    <row r="47" spans="1:9" x14ac:dyDescent="0.15">
      <c r="A47" s="68"/>
      <c r="B47" s="65"/>
      <c r="C47" s="60"/>
      <c r="D47" s="60"/>
      <c r="E47" s="61"/>
    </row>
    <row r="48" spans="1:9" x14ac:dyDescent="0.15">
      <c r="A48" s="68"/>
      <c r="B48" s="65"/>
      <c r="C48" s="60"/>
      <c r="D48" s="60"/>
      <c r="E48" s="61"/>
    </row>
    <row r="49" spans="2:5" x14ac:dyDescent="0.15">
      <c r="B49" s="62"/>
      <c r="C49" s="63"/>
      <c r="D49" s="63"/>
      <c r="E49" s="64"/>
    </row>
  </sheetData>
  <dataConsolidate/>
  <phoneticPr fontId="2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FF00"/>
  </sheetPr>
  <dimension ref="A2:J37"/>
  <sheetViews>
    <sheetView zoomScale="85" zoomScaleNormal="85" workbookViewId="0">
      <selection activeCell="C25" sqref="C25"/>
    </sheetView>
  </sheetViews>
  <sheetFormatPr defaultRowHeight="13.5" x14ac:dyDescent="0.15"/>
  <cols>
    <col min="1" max="1" width="15.25" customWidth="1"/>
    <col min="2" max="2" width="11.5" customWidth="1"/>
    <col min="5" max="5" width="13.875" customWidth="1"/>
    <col min="7" max="7" width="10.625" customWidth="1"/>
    <col min="8" max="8" width="4.75" bestFit="1" customWidth="1"/>
    <col min="10" max="10" width="10.625" customWidth="1"/>
  </cols>
  <sheetData>
    <row r="2" spans="1:8" x14ac:dyDescent="0.15">
      <c r="A2" s="2" t="s">
        <v>13</v>
      </c>
      <c r="B2" s="1" t="s">
        <v>588</v>
      </c>
      <c r="D2" t="s">
        <v>6</v>
      </c>
      <c r="G2" s="9" t="s">
        <v>20</v>
      </c>
      <c r="H2" s="9" t="s">
        <v>25</v>
      </c>
    </row>
    <row r="3" spans="1:8" x14ac:dyDescent="0.15">
      <c r="A3" s="2" t="s">
        <v>10</v>
      </c>
      <c r="B3" s="9" t="s">
        <v>589</v>
      </c>
      <c r="D3" s="8" t="s">
        <v>7</v>
      </c>
      <c r="G3" s="1" t="s">
        <v>32</v>
      </c>
      <c r="H3" s="1" t="s">
        <v>23</v>
      </c>
    </row>
    <row r="4" spans="1:8" x14ac:dyDescent="0.15">
      <c r="A4" s="2" t="s">
        <v>11</v>
      </c>
      <c r="B4" s="9" t="s">
        <v>590</v>
      </c>
      <c r="D4" t="s">
        <v>9</v>
      </c>
      <c r="G4" s="1" t="s">
        <v>458</v>
      </c>
      <c r="H4" s="1" t="s">
        <v>24</v>
      </c>
    </row>
    <row r="5" spans="1:8" x14ac:dyDescent="0.15">
      <c r="A5" s="2" t="s">
        <v>12</v>
      </c>
      <c r="B5" s="9" t="s">
        <v>590</v>
      </c>
      <c r="D5" t="s">
        <v>8</v>
      </c>
      <c r="G5" s="1" t="s">
        <v>459</v>
      </c>
    </row>
    <row r="6" spans="1:8" x14ac:dyDescent="0.15">
      <c r="A6" s="42"/>
      <c r="B6" s="1"/>
      <c r="D6" s="6"/>
      <c r="G6" s="41" t="s">
        <v>460</v>
      </c>
    </row>
    <row r="7" spans="1:8" x14ac:dyDescent="0.15">
      <c r="A7" s="2"/>
      <c r="B7" s="1"/>
      <c r="D7" s="6"/>
      <c r="G7" s="17" t="s">
        <v>461</v>
      </c>
    </row>
    <row r="8" spans="1:8" x14ac:dyDescent="0.15">
      <c r="A8" s="2" t="s">
        <v>5</v>
      </c>
      <c r="B8" s="9" t="s">
        <v>591</v>
      </c>
      <c r="D8" s="6"/>
      <c r="G8" s="1" t="s">
        <v>31</v>
      </c>
    </row>
    <row r="9" spans="1:8" x14ac:dyDescent="0.15">
      <c r="A9" s="2" t="s">
        <v>14</v>
      </c>
      <c r="B9" s="1" t="s">
        <v>0</v>
      </c>
      <c r="D9" s="6"/>
      <c r="G9" s="1" t="s">
        <v>575</v>
      </c>
    </row>
    <row r="10" spans="1:8" x14ac:dyDescent="0.15">
      <c r="A10" s="2" t="s">
        <v>15</v>
      </c>
      <c r="B10" s="1" t="s">
        <v>0</v>
      </c>
      <c r="D10" s="6"/>
      <c r="G10" s="1" t="s">
        <v>576</v>
      </c>
    </row>
    <row r="11" spans="1:8" x14ac:dyDescent="0.15">
      <c r="A11" s="2" t="s">
        <v>22</v>
      </c>
      <c r="B11" s="1" t="s">
        <v>0</v>
      </c>
      <c r="D11" s="6"/>
      <c r="G11" s="17"/>
    </row>
    <row r="12" spans="1:8" x14ac:dyDescent="0.15">
      <c r="A12" s="2" t="s">
        <v>26</v>
      </c>
      <c r="B12" s="1" t="s">
        <v>0</v>
      </c>
      <c r="D12" s="6"/>
      <c r="G12" s="1" t="s">
        <v>571</v>
      </c>
    </row>
    <row r="13" spans="1:8" x14ac:dyDescent="0.15">
      <c r="A13" s="2" t="s">
        <v>27</v>
      </c>
      <c r="B13" s="1" t="s">
        <v>0</v>
      </c>
      <c r="C13" t="s">
        <v>28</v>
      </c>
      <c r="E13" t="s">
        <v>19</v>
      </c>
      <c r="G13" s="1" t="s">
        <v>572</v>
      </c>
    </row>
    <row r="14" spans="1:8" x14ac:dyDescent="0.15">
      <c r="G14" s="1" t="s">
        <v>573</v>
      </c>
    </row>
    <row r="15" spans="1:8" x14ac:dyDescent="0.15">
      <c r="E15" s="16" t="s">
        <v>16</v>
      </c>
      <c r="G15" s="17" t="s">
        <v>574</v>
      </c>
    </row>
    <row r="16" spans="1:8" x14ac:dyDescent="0.15">
      <c r="E16" s="14" t="s">
        <v>17</v>
      </c>
      <c r="G16" s="1"/>
    </row>
    <row r="17" spans="1:10" x14ac:dyDescent="0.15">
      <c r="E17" s="15" t="s">
        <v>29</v>
      </c>
      <c r="G17" s="1"/>
    </row>
    <row r="18" spans="1:10" x14ac:dyDescent="0.15">
      <c r="E18" s="11" t="s">
        <v>18</v>
      </c>
      <c r="G18" s="1"/>
    </row>
    <row r="19" spans="1:10" x14ac:dyDescent="0.15">
      <c r="G19" s="1"/>
    </row>
    <row r="20" spans="1:10" x14ac:dyDescent="0.15">
      <c r="G20" s="1"/>
    </row>
    <row r="21" spans="1:10" x14ac:dyDescent="0.15">
      <c r="G21" s="1"/>
    </row>
    <row r="22" spans="1:10" x14ac:dyDescent="0.15">
      <c r="G22" s="1"/>
    </row>
    <row r="23" spans="1:10" x14ac:dyDescent="0.15">
      <c r="G23" s="1"/>
    </row>
    <row r="24" spans="1:10" x14ac:dyDescent="0.15">
      <c r="G24" s="41"/>
    </row>
    <row r="25" spans="1:10" x14ac:dyDescent="0.15">
      <c r="G25" s="1"/>
      <c r="J25" s="13"/>
    </row>
    <row r="26" spans="1:10" x14ac:dyDescent="0.15">
      <c r="G26" s="1"/>
    </row>
    <row r="27" spans="1:10" x14ac:dyDescent="0.15">
      <c r="G27" s="1"/>
    </row>
    <row r="28" spans="1:10" x14ac:dyDescent="0.15">
      <c r="G28" s="1"/>
    </row>
    <row r="29" spans="1:10" x14ac:dyDescent="0.15">
      <c r="A29" s="3" t="s">
        <v>469</v>
      </c>
      <c r="G29" s="1"/>
    </row>
    <row r="30" spans="1:10" x14ac:dyDescent="0.15">
      <c r="A30" s="2" t="s">
        <v>476</v>
      </c>
      <c r="B30" s="1" t="s">
        <v>201</v>
      </c>
      <c r="C30" t="s">
        <v>470</v>
      </c>
      <c r="G30" s="1"/>
    </row>
    <row r="31" spans="1:10" x14ac:dyDescent="0.15">
      <c r="A31" s="2" t="s">
        <v>474</v>
      </c>
      <c r="B31" s="1" t="s">
        <v>65</v>
      </c>
      <c r="C31" t="s">
        <v>475</v>
      </c>
    </row>
    <row r="32" spans="1:10" x14ac:dyDescent="0.15">
      <c r="A32" s="2" t="s">
        <v>477</v>
      </c>
      <c r="B32" s="1" t="s">
        <v>0</v>
      </c>
      <c r="C32" t="s">
        <v>475</v>
      </c>
    </row>
    <row r="33" spans="1:3" x14ac:dyDescent="0.15">
      <c r="A33" s="2" t="s">
        <v>472</v>
      </c>
      <c r="B33" s="1">
        <v>1</v>
      </c>
      <c r="C33" t="s">
        <v>471</v>
      </c>
    </row>
    <row r="34" spans="1:3" x14ac:dyDescent="0.15">
      <c r="A34" s="2" t="s">
        <v>473</v>
      </c>
      <c r="B34" s="1"/>
      <c r="C34" t="s">
        <v>471</v>
      </c>
    </row>
    <row r="35" spans="1:3" x14ac:dyDescent="0.15">
      <c r="A35" s="2"/>
      <c r="B35" s="1"/>
    </row>
    <row r="36" spans="1:3" x14ac:dyDescent="0.15">
      <c r="A36" s="2"/>
      <c r="B36" s="1"/>
    </row>
    <row r="37" spans="1:3" x14ac:dyDescent="0.15">
      <c r="A37" s="2"/>
      <c r="B37" s="1"/>
    </row>
  </sheetData>
  <dataConsolidate/>
  <phoneticPr fontId="2"/>
  <dataValidations count="3">
    <dataValidation type="list" allowBlank="1" showInputMessage="1" showErrorMessage="1" sqref="B9:B13">
      <formula1>$H$3:$H$4</formula1>
    </dataValidation>
    <dataValidation type="list" allowBlank="1" showInputMessage="1" showErrorMessage="1" sqref="B30">
      <formula1>"S,I"</formula1>
    </dataValidation>
    <dataValidation type="list" allowBlank="1" showInputMessage="1" showErrorMessage="1" sqref="B31:B32">
      <formula1>"Y,N"</formula1>
    </dataValidation>
  </dataValidations>
  <pageMargins left="0.75" right="0.75" top="1" bottom="1" header="0.51200000000000001" footer="0.51200000000000001"/>
  <pageSetup paperSize="9" orientation="portrait" r:id="rId1"/>
  <headerFooter alignWithMargins="0"/>
  <cellWatches>
    <cellWatch r="D23"/>
  </cellWatches>
  <drawing r:id="rId2"/>
  <legacyDrawing r:id="rId3"/>
  <controls>
    <mc:AlternateContent xmlns:mc="http://schemas.openxmlformats.org/markup-compatibility/2006">
      <mc:Choice Requires="x14">
        <control shapeId="3564" r:id="rId4" name="cmbtnInsertRecord">
          <controlPr defaultSize="0" autoLine="0" r:id="rId5">
            <anchor moveWithCells="1">
              <from>
                <xdr:col>0</xdr:col>
                <xdr:colOff>314325</xdr:colOff>
                <xdr:row>17</xdr:row>
                <xdr:rowOff>133350</xdr:rowOff>
              </from>
              <to>
                <xdr:col>1</xdr:col>
                <xdr:colOff>428625</xdr:colOff>
                <xdr:row>19</xdr:row>
                <xdr:rowOff>104775</xdr:rowOff>
              </to>
            </anchor>
          </controlPr>
        </control>
      </mc:Choice>
      <mc:Fallback>
        <control shapeId="3564" r:id="rId4" name="cmbtnInsertRecord"/>
      </mc:Fallback>
    </mc:AlternateContent>
    <mc:AlternateContent xmlns:mc="http://schemas.openxmlformats.org/markup-compatibility/2006">
      <mc:Choice Requires="x14">
        <control shapeId="3082" r:id="rId6" name="ListBox1">
          <controlPr defaultSize="0" autoLine="0" autoPict="0" listFillRange="G3:G30" r:id="rId7">
            <anchor moveWithCells="1" sizeWithCells="1">
              <from>
                <xdr:col>9</xdr:col>
                <xdr:colOff>19050</xdr:colOff>
                <xdr:row>0</xdr:row>
                <xdr:rowOff>161925</xdr:rowOff>
              </from>
              <to>
                <xdr:col>11</xdr:col>
                <xdr:colOff>19050</xdr:colOff>
                <xdr:row>26</xdr:row>
                <xdr:rowOff>0</xdr:rowOff>
              </to>
            </anchor>
          </controlPr>
        </control>
      </mc:Choice>
      <mc:Fallback>
        <control shapeId="3082" r:id="rId6" name="ListBox1"/>
      </mc:Fallback>
    </mc:AlternateContent>
    <mc:AlternateContent xmlns:mc="http://schemas.openxmlformats.org/markup-compatibility/2006">
      <mc:Choice Requires="x14">
        <control shapeId="3073" r:id="rId8" name="CommandButton1">
          <controlPr autoLine="0" r:id="rId9">
            <anchor moveWithCells="1">
              <from>
                <xdr:col>0</xdr:col>
                <xdr:colOff>314325</xdr:colOff>
                <xdr:row>14</xdr:row>
                <xdr:rowOff>142875</xdr:rowOff>
              </from>
              <to>
                <xdr:col>1</xdr:col>
                <xdr:colOff>428625</xdr:colOff>
                <xdr:row>16</xdr:row>
                <xdr:rowOff>114300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565" r:id="rId10" name="cmdBtnSearch3">
          <controlPr defaultSize="0" autoLine="0" r:id="rId11">
            <anchor moveWithCells="1">
              <from>
                <xdr:col>0</xdr:col>
                <xdr:colOff>314325</xdr:colOff>
                <xdr:row>20</xdr:row>
                <xdr:rowOff>123825</xdr:rowOff>
              </from>
              <to>
                <xdr:col>1</xdr:col>
                <xdr:colOff>428625</xdr:colOff>
                <xdr:row>22</xdr:row>
                <xdr:rowOff>104775</xdr:rowOff>
              </to>
            </anchor>
          </controlPr>
        </control>
      </mc:Choice>
      <mc:Fallback>
        <control shapeId="3565" r:id="rId10" name="cmdBtnSearch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F62"/>
  <sheetViews>
    <sheetView tabSelected="1" zoomScale="85" zoomScaleNormal="85" workbookViewId="0">
      <selection activeCell="C10" sqref="C10"/>
    </sheetView>
  </sheetViews>
  <sheetFormatPr defaultRowHeight="13.5" x14ac:dyDescent="0.15"/>
  <cols>
    <col min="1" max="1" width="10.25" customWidth="1"/>
    <col min="2" max="2" width="11.125" customWidth="1"/>
  </cols>
  <sheetData>
    <row r="1" spans="1:4" x14ac:dyDescent="0.15">
      <c r="A1" t="s">
        <v>1</v>
      </c>
      <c r="B1" s="4" t="s">
        <v>3</v>
      </c>
      <c r="C1" s="3" t="s">
        <v>2</v>
      </c>
    </row>
    <row r="3" spans="1:4" x14ac:dyDescent="0.15">
      <c r="B3" t="s">
        <v>30</v>
      </c>
      <c r="C3" t="s">
        <v>495</v>
      </c>
    </row>
    <row r="4" spans="1:4" x14ac:dyDescent="0.15">
      <c r="B4" t="s">
        <v>30</v>
      </c>
      <c r="C4" t="s">
        <v>570</v>
      </c>
    </row>
    <row r="5" spans="1:4" x14ac:dyDescent="0.15">
      <c r="B5" t="s">
        <v>30</v>
      </c>
      <c r="C5" t="s">
        <v>586</v>
      </c>
    </row>
    <row r="6" spans="1:4" x14ac:dyDescent="0.15">
      <c r="B6" t="s">
        <v>30</v>
      </c>
      <c r="C6" t="s">
        <v>584</v>
      </c>
    </row>
    <row r="7" spans="1:4" x14ac:dyDescent="0.15">
      <c r="B7" t="s">
        <v>30</v>
      </c>
      <c r="C7" t="s">
        <v>585</v>
      </c>
    </row>
    <row r="8" spans="1:4" x14ac:dyDescent="0.15">
      <c r="B8" t="s">
        <v>30</v>
      </c>
      <c r="C8" t="s">
        <v>587</v>
      </c>
    </row>
    <row r="9" spans="1:4" x14ac:dyDescent="0.15">
      <c r="B9" t="s">
        <v>4</v>
      </c>
      <c r="C9" t="s">
        <v>495</v>
      </c>
    </row>
    <row r="10" spans="1:4" x14ac:dyDescent="0.15">
      <c r="C10" s="10"/>
      <c r="D10" s="7"/>
    </row>
    <row r="11" spans="1:4" x14ac:dyDescent="0.15">
      <c r="C11" s="10"/>
    </row>
    <row r="12" spans="1:4" x14ac:dyDescent="0.15">
      <c r="C12" s="10"/>
    </row>
    <row r="13" spans="1:4" x14ac:dyDescent="0.15">
      <c r="C13" s="10"/>
    </row>
    <row r="14" spans="1:4" x14ac:dyDescent="0.15">
      <c r="C14" s="10"/>
    </row>
    <row r="15" spans="1:4" x14ac:dyDescent="0.15">
      <c r="C15" s="10"/>
    </row>
    <row r="16" spans="1:4" x14ac:dyDescent="0.15">
      <c r="C16" s="10"/>
    </row>
    <row r="17" spans="3:3" x14ac:dyDescent="0.15">
      <c r="C17" s="10"/>
    </row>
    <row r="18" spans="3:3" x14ac:dyDescent="0.15">
      <c r="C18" s="10"/>
    </row>
    <row r="19" spans="3:3" x14ac:dyDescent="0.15">
      <c r="C19" s="10"/>
    </row>
    <row r="20" spans="3:3" x14ac:dyDescent="0.15">
      <c r="C20" s="10"/>
    </row>
    <row r="21" spans="3:3" x14ac:dyDescent="0.15">
      <c r="C21" s="10"/>
    </row>
    <row r="22" spans="3:3" x14ac:dyDescent="0.15">
      <c r="C22" s="10"/>
    </row>
    <row r="23" spans="3:3" x14ac:dyDescent="0.15">
      <c r="C23" s="10"/>
    </row>
    <row r="24" spans="3:3" x14ac:dyDescent="0.15">
      <c r="C24" s="10"/>
    </row>
    <row r="25" spans="3:3" x14ac:dyDescent="0.15">
      <c r="C25" s="10"/>
    </row>
    <row r="26" spans="3:3" x14ac:dyDescent="0.15">
      <c r="C26" s="10"/>
    </row>
    <row r="28" spans="3:3" x14ac:dyDescent="0.15">
      <c r="C28" s="10"/>
    </row>
    <row r="29" spans="3:3" x14ac:dyDescent="0.15">
      <c r="C29" s="10"/>
    </row>
    <row r="30" spans="3:3" x14ac:dyDescent="0.15">
      <c r="C30" s="10"/>
    </row>
    <row r="31" spans="3:3" x14ac:dyDescent="0.15">
      <c r="C31" s="10"/>
    </row>
    <row r="32" spans="3:3" x14ac:dyDescent="0.15">
      <c r="C32" s="10"/>
    </row>
    <row r="33" spans="3:3" x14ac:dyDescent="0.15">
      <c r="C33" s="10"/>
    </row>
    <row r="34" spans="3:3" x14ac:dyDescent="0.15">
      <c r="C34" s="10"/>
    </row>
    <row r="35" spans="3:3" x14ac:dyDescent="0.15">
      <c r="C35" s="10"/>
    </row>
    <row r="37" spans="3:3" x14ac:dyDescent="0.15">
      <c r="C37" s="12"/>
    </row>
    <row r="61" spans="1:6" ht="14.25" thickBot="1" x14ac:dyDescent="0.2">
      <c r="A61" s="5"/>
      <c r="B61" s="5" t="s">
        <v>4</v>
      </c>
      <c r="C61" s="5"/>
      <c r="D61" s="5"/>
      <c r="E61" s="5"/>
      <c r="F61" s="5"/>
    </row>
    <row r="62" spans="1:6" x14ac:dyDescent="0.15">
      <c r="A62" t="s">
        <v>21</v>
      </c>
    </row>
  </sheetData>
  <autoFilter ref="A1:A68"/>
  <phoneticPr fontId="2"/>
  <pageMargins left="0.75" right="0.75" top="1" bottom="1" header="0.51200000000000001" footer="0.51200000000000001"/>
  <pageSetup paperSize="9" orientation="portrait" verticalDpi="1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CD</vt:lpstr>
      <vt:lpstr>AR</vt:lpstr>
      <vt:lpstr>AP</vt:lpstr>
      <vt:lpstr>Config</vt:lpstr>
      <vt:lpstr>Sql</vt:lpstr>
      <vt:lpstr>AP!SQLCondition</vt:lpstr>
      <vt:lpstr>SQLCondition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m1462nak</dc:creator>
  <cp:lastModifiedBy>GZR 楊</cp:lastModifiedBy>
  <cp:lastPrinted>2013-03-28T04:00:54Z</cp:lastPrinted>
  <dcterms:created xsi:type="dcterms:W3CDTF">2007-07-13T06:56:46Z</dcterms:created>
  <dcterms:modified xsi:type="dcterms:W3CDTF">2017-03-15T00:59:40Z</dcterms:modified>
</cp:coreProperties>
</file>